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filterPrivacy="1" defaultThemeVersion="124226"/>
  <xr:revisionPtr revIDLastSave="0" documentId="13_ncr:1_{7D1984C4-3CE5-4FFF-9A8A-01FE12CE70E7}" xr6:coauthVersionLast="36" xr6:coauthVersionMax="36" xr10:uidLastSave="{00000000-0000-0000-0000-000000000000}"/>
  <bookViews>
    <workbookView xWindow="240" yWindow="108" windowWidth="14808" windowHeight="8016" xr2:uid="{00000000-000D-0000-FFFF-FFFF00000000}"/>
  </bookViews>
  <sheets>
    <sheet name="사육돼지" sheetId="1" r:id="rId1"/>
    <sheet name="발생지역" sheetId="3" r:id="rId2"/>
    <sheet name="살처분" sheetId="2" r:id="rId3"/>
  </sheets>
  <definedNames>
    <definedName name="_xlnm._FilterDatabase" localSheetId="0" hidden="1">사육돼지!$A$2:$H$69</definedName>
  </definedNames>
  <calcPr calcId="191029" iterateDelta="0"/>
</workbook>
</file>

<file path=xl/calcChain.xml><?xml version="1.0" encoding="utf-8"?>
<calcChain xmlns="http://schemas.openxmlformats.org/spreadsheetml/2006/main">
  <c r="G69" i="1" l="1"/>
  <c r="G12" i="3" l="1"/>
  <c r="I12" i="3"/>
  <c r="J12" i="3"/>
  <c r="J11" i="3"/>
  <c r="J2" i="3" l="1"/>
  <c r="H3" i="2"/>
  <c r="H12" i="3" l="1"/>
  <c r="F12" i="3"/>
  <c r="E12" i="3"/>
  <c r="D12" i="3"/>
  <c r="C12" i="3"/>
  <c r="B12" i="3"/>
  <c r="J4" i="3"/>
  <c r="J5" i="3"/>
  <c r="J6" i="3"/>
  <c r="J7" i="3"/>
  <c r="J8" i="3"/>
  <c r="J9" i="3"/>
  <c r="J10" i="3"/>
  <c r="H14" i="2"/>
  <c r="G14" i="2"/>
  <c r="E14" i="2"/>
  <c r="F14" i="2"/>
  <c r="C13" i="2"/>
  <c r="D13" i="2"/>
  <c r="D12" i="2" l="1"/>
  <c r="C12" i="2"/>
  <c r="C11" i="2" l="1"/>
  <c r="D11" i="2"/>
  <c r="D10" i="2" l="1"/>
  <c r="D9" i="2"/>
  <c r="D8" i="2"/>
  <c r="C10" i="2"/>
  <c r="C9" i="2"/>
  <c r="C8" i="2"/>
  <c r="C7" i="2"/>
  <c r="D14" i="2" l="1"/>
  <c r="D7" i="2" l="1"/>
  <c r="D6" i="2"/>
  <c r="C6" i="2"/>
  <c r="C14" i="2" l="1"/>
</calcChain>
</file>

<file path=xl/sharedStrings.xml><?xml version="1.0" encoding="utf-8"?>
<sst xmlns="http://schemas.openxmlformats.org/spreadsheetml/2006/main" count="549" uniqueCount="397">
  <si>
    <t>no</t>
    <phoneticPr fontId="1" type="noConversion"/>
  </si>
  <si>
    <t>신고일자</t>
    <phoneticPr fontId="1" type="noConversion"/>
  </si>
  <si>
    <t>확진일자</t>
    <phoneticPr fontId="1" type="noConversion"/>
  </si>
  <si>
    <t>사육규모</t>
    <phoneticPr fontId="1" type="noConversion"/>
  </si>
  <si>
    <t>계</t>
    <phoneticPr fontId="1" type="noConversion"/>
  </si>
  <si>
    <t>파주 연다산동</t>
    <phoneticPr fontId="1" type="noConversion"/>
  </si>
  <si>
    <t>연천 백학면</t>
    <phoneticPr fontId="1" type="noConversion"/>
  </si>
  <si>
    <t>김포 통진읍</t>
    <phoneticPr fontId="1" type="noConversion"/>
  </si>
  <si>
    <t>파주 적성읍</t>
    <phoneticPr fontId="1" type="noConversion"/>
  </si>
  <si>
    <t>강화 송해면</t>
    <phoneticPr fontId="1" type="noConversion"/>
  </si>
  <si>
    <t>강화 불은면</t>
    <phoneticPr fontId="1" type="noConversion"/>
  </si>
  <si>
    <t>강화 삼산면</t>
    <phoneticPr fontId="1" type="noConversion"/>
  </si>
  <si>
    <t>강화 강화읍</t>
    <phoneticPr fontId="1" type="noConversion"/>
  </si>
  <si>
    <t>강화 하점면</t>
    <phoneticPr fontId="1" type="noConversion"/>
  </si>
  <si>
    <t>파주 파평면</t>
    <phoneticPr fontId="1" type="noConversion"/>
  </si>
  <si>
    <t>파주 적성면</t>
    <phoneticPr fontId="1" type="noConversion"/>
  </si>
  <si>
    <t>파주 문산읍</t>
    <phoneticPr fontId="1" type="noConversion"/>
  </si>
  <si>
    <t>김포 통진읍</t>
    <phoneticPr fontId="1" type="noConversion"/>
  </si>
  <si>
    <t>연천 신서면</t>
    <phoneticPr fontId="1" type="noConversion"/>
  </si>
  <si>
    <t>화천 상서면</t>
    <phoneticPr fontId="1" type="noConversion"/>
  </si>
  <si>
    <t>화천 상서면</t>
    <phoneticPr fontId="1" type="noConversion"/>
  </si>
  <si>
    <t>영월 주천면</t>
    <phoneticPr fontId="1" type="noConversion"/>
  </si>
  <si>
    <t>고성 간성읍</t>
    <phoneticPr fontId="1" type="noConversion"/>
  </si>
  <si>
    <t>인제 인제읍</t>
    <phoneticPr fontId="1" type="noConversion"/>
  </si>
  <si>
    <t>홍천 내촌면</t>
    <phoneticPr fontId="1" type="noConversion"/>
  </si>
  <si>
    <t>인제 남면</t>
    <phoneticPr fontId="1" type="noConversion"/>
  </si>
  <si>
    <t>홍천 화촌면</t>
    <phoneticPr fontId="1" type="noConversion"/>
  </si>
  <si>
    <t>양구 국토정중앙면</t>
    <phoneticPr fontId="1" type="noConversion"/>
  </si>
  <si>
    <t>춘천 동산면</t>
    <phoneticPr fontId="1" type="noConversion"/>
  </si>
  <si>
    <t>춘천 동산면</t>
    <phoneticPr fontId="1" type="noConversion"/>
  </si>
  <si>
    <t>김포 하성면</t>
    <phoneticPr fontId="1" type="noConversion"/>
  </si>
  <si>
    <t>파주 문산읍</t>
    <phoneticPr fontId="1" type="noConversion"/>
  </si>
  <si>
    <t>철원 동송읍</t>
    <phoneticPr fontId="1" type="noConversion"/>
  </si>
  <si>
    <t>포천 관인면</t>
    <phoneticPr fontId="1" type="noConversion"/>
  </si>
  <si>
    <t>철원 동송읍</t>
    <phoneticPr fontId="1" type="noConversion"/>
  </si>
  <si>
    <t>김포 통진읍</t>
    <phoneticPr fontId="1" type="noConversion"/>
  </si>
  <si>
    <t>2020년</t>
    <phoneticPr fontId="1" type="noConversion"/>
  </si>
  <si>
    <t>2019년</t>
    <phoneticPr fontId="1" type="noConversion"/>
  </si>
  <si>
    <t>2022년</t>
    <phoneticPr fontId="1" type="noConversion"/>
  </si>
  <si>
    <t>예찰</t>
    <phoneticPr fontId="1" type="noConversion"/>
  </si>
  <si>
    <t>예찰 양성</t>
    <phoneticPr fontId="1" type="noConversion"/>
  </si>
  <si>
    <t>모돈 폐사, 기립불능, 식불</t>
    <phoneticPr fontId="1" type="noConversion"/>
  </si>
  <si>
    <t>모돈 3두 폐사</t>
    <phoneticPr fontId="1" type="noConversion"/>
  </si>
  <si>
    <t>고성 역학검사서 모돈 1두 양성</t>
    <phoneticPr fontId="1" type="noConversion"/>
  </si>
  <si>
    <t>일제검사서 비육돈 1두 양성</t>
    <phoneticPr fontId="1" type="noConversion"/>
  </si>
  <si>
    <t>출하 전 검사 모돈 1두 양성</t>
    <phoneticPr fontId="1" type="noConversion"/>
  </si>
  <si>
    <t>폐사 비육돈 2두 양성</t>
    <phoneticPr fontId="1" type="noConversion"/>
  </si>
  <si>
    <t>비육돈 10두 폐사로 신고</t>
    <phoneticPr fontId="1" type="noConversion"/>
  </si>
  <si>
    <t>정밀검사 100두 중 13두 양성</t>
    <phoneticPr fontId="1" type="noConversion"/>
  </si>
  <si>
    <t>모돈 폐사 1두, 유사산 4두</t>
    <phoneticPr fontId="1" type="noConversion"/>
  </si>
  <si>
    <t>모돈 폐사 1두, 유사산 2두</t>
    <phoneticPr fontId="1" type="noConversion"/>
  </si>
  <si>
    <t>모돈 폐사 2두, 유산 1두</t>
    <phoneticPr fontId="1" type="noConversion"/>
  </si>
  <si>
    <t>비육 폐사 1두, 모돈식불 1두</t>
    <phoneticPr fontId="1" type="noConversion"/>
  </si>
  <si>
    <t>비육 폐사 1두, 비출혈 2두</t>
    <phoneticPr fontId="1" type="noConversion"/>
  </si>
  <si>
    <t>모돈 폐사 1두, 식불 4두</t>
    <phoneticPr fontId="1" type="noConversion"/>
  </si>
  <si>
    <t>모돈 식불 4두</t>
    <phoneticPr fontId="1" type="noConversion"/>
  </si>
  <si>
    <t>비육 폐사 4두</t>
    <phoneticPr fontId="1" type="noConversion"/>
  </si>
  <si>
    <t>모돈 식불 4두, 유산 2두</t>
    <phoneticPr fontId="1" type="noConversion"/>
  </si>
  <si>
    <t>살처분 전 검사 모돈 양성 2두</t>
    <phoneticPr fontId="1" type="noConversion"/>
  </si>
  <si>
    <t>흑돼지 모돈 폐사 2두</t>
    <phoneticPr fontId="1" type="noConversion"/>
  </si>
  <si>
    <t>이유자돈 15두, 모돈 1두 폐사로 신고</t>
    <phoneticPr fontId="1" type="noConversion"/>
  </si>
  <si>
    <t>모돈 2두 유산, 7두 사료섭취 저하</t>
    <phoneticPr fontId="1" type="noConversion"/>
  </si>
  <si>
    <t>모돈 2두 폐사(유산1, 사료섭취 저하 7)</t>
    <phoneticPr fontId="1" type="noConversion"/>
  </si>
  <si>
    <t>모돈 9두 폐사로 신고</t>
    <phoneticPr fontId="1" type="noConversion"/>
  </si>
  <si>
    <t>모돈 4두 폐사 및 유사산, 고열, 자돈 폐사</t>
    <phoneticPr fontId="1" type="noConversion"/>
  </si>
  <si>
    <t>국내 사육돼지 ASF 발생 요약</t>
    <phoneticPr fontId="1" type="noConversion"/>
  </si>
  <si>
    <t>양양 손양면</t>
    <phoneticPr fontId="1" type="noConversion"/>
  </si>
  <si>
    <t>비육돈 폐사로 신고(양돈단지 내)</t>
    <phoneticPr fontId="1" type="noConversion"/>
  </si>
  <si>
    <t>포천 영중면</t>
    <phoneticPr fontId="1" type="noConversion"/>
  </si>
  <si>
    <t>포천 창수면</t>
    <phoneticPr fontId="1" type="noConversion"/>
  </si>
  <si>
    <t>포천 영중면</t>
    <phoneticPr fontId="1" type="noConversion"/>
  </si>
  <si>
    <t>모돈 폐사(4두)/33번 동일 소유</t>
    <phoneticPr fontId="1" type="noConversion"/>
  </si>
  <si>
    <t>예찰 정밀 검사 양성/33번 동일소유</t>
    <phoneticPr fontId="1" type="noConversion"/>
  </si>
  <si>
    <t>철원 갈말읍</t>
    <phoneticPr fontId="1" type="noConversion"/>
  </si>
  <si>
    <t>출하 전 검사서 양성돈 7마리 확인</t>
    <phoneticPr fontId="1" type="noConversion"/>
  </si>
  <si>
    <t>ASF 발생농장 및 예방적 살처분</t>
    <phoneticPr fontId="1" type="noConversion"/>
  </si>
  <si>
    <t>시군</t>
    <phoneticPr fontId="1" type="noConversion"/>
  </si>
  <si>
    <t>합계</t>
    <phoneticPr fontId="1" type="noConversion"/>
  </si>
  <si>
    <t>전체</t>
    <phoneticPr fontId="1" type="noConversion"/>
  </si>
  <si>
    <t>발생농장 살처분</t>
    <phoneticPr fontId="1" type="noConversion"/>
  </si>
  <si>
    <t>예방적 살처분</t>
    <phoneticPr fontId="1" type="noConversion"/>
  </si>
  <si>
    <t>농장</t>
    <phoneticPr fontId="1" type="noConversion"/>
  </si>
  <si>
    <t>두수</t>
    <phoneticPr fontId="1" type="noConversion"/>
  </si>
  <si>
    <t>농장</t>
    <phoneticPr fontId="1" type="noConversion"/>
  </si>
  <si>
    <t>농장</t>
    <phoneticPr fontId="1" type="noConversion"/>
  </si>
  <si>
    <t>화천 하남면</t>
    <phoneticPr fontId="1" type="noConversion"/>
  </si>
  <si>
    <t>영덕 축산면</t>
    <phoneticPr fontId="1" type="noConversion"/>
  </si>
  <si>
    <t>2024년</t>
    <phoneticPr fontId="1" type="noConversion"/>
  </si>
  <si>
    <t>석모도/예찰</t>
    <phoneticPr fontId="1" type="noConversion"/>
  </si>
  <si>
    <t>도축장 검사서 모돈 양성(20두 중 6두)</t>
    <phoneticPr fontId="1" type="noConversion"/>
  </si>
  <si>
    <t>모돈 폐사(50두), 유산</t>
    <phoneticPr fontId="1" type="noConversion"/>
  </si>
  <si>
    <t>포천(29번) 가족농장 (4두 양성)</t>
    <phoneticPr fontId="1" type="noConversion"/>
  </si>
  <si>
    <t>철원 갈말읍</t>
    <phoneticPr fontId="1" type="noConversion"/>
  </si>
  <si>
    <t>출하 전 검사서 모돈 3마리 양성(식욕부진)</t>
    <phoneticPr fontId="1" type="noConversion"/>
  </si>
  <si>
    <t>예찰 검사서 비육돈 4마리 양성(후지파행)</t>
    <phoneticPr fontId="1" type="noConversion"/>
  </si>
  <si>
    <t>모돈 및 비육돈 폐사로 신고(모돈9,비육돈40)</t>
    <phoneticPr fontId="1" type="noConversion"/>
  </si>
  <si>
    <t>모돈 다수 폐사로 신고(모돈9)</t>
    <phoneticPr fontId="1" type="noConversion"/>
  </si>
  <si>
    <t>비육돈 지속 폐사(5.11~40두)</t>
    <phoneticPr fontId="1" type="noConversion"/>
  </si>
  <si>
    <t>영천 화남면</t>
    <phoneticPr fontId="1" type="noConversion"/>
  </si>
  <si>
    <t>안동 남선면</t>
    <phoneticPr fontId="1" type="noConversion"/>
  </si>
  <si>
    <t>예천 효자면</t>
    <phoneticPr fontId="1" type="noConversion"/>
  </si>
  <si>
    <t>모돈 폐사(6.11~15, 13두) 및 식불</t>
    <phoneticPr fontId="1" type="noConversion"/>
  </si>
  <si>
    <t>흑돼지 모돈 및 웅돈 폐사(6.30~7/2 10두)</t>
    <phoneticPr fontId="1" type="noConversion"/>
  </si>
  <si>
    <t>모돈 폐사(7.5~6, 4두) 및 식불</t>
    <phoneticPr fontId="1" type="noConversion"/>
  </si>
  <si>
    <t>비육돈 27두, 웅돈 1두 폐사(8.11~12)</t>
    <phoneticPr fontId="1" type="noConversion"/>
  </si>
  <si>
    <t>김포 월곶면</t>
    <phoneticPr fontId="1" type="noConversion"/>
  </si>
  <si>
    <t>육성돈 120두 폐사(8.28~30), 발열, 식불</t>
    <phoneticPr fontId="1" type="noConversion"/>
  </si>
  <si>
    <t>화천 사내면</t>
    <phoneticPr fontId="1" type="noConversion"/>
  </si>
  <si>
    <t>돼지 67두 폐사(10.7~13, 비육돈60,모돈1,후보6)</t>
    <phoneticPr fontId="1" type="noConversion"/>
  </si>
  <si>
    <t>홍천 남면</t>
    <phoneticPr fontId="1" type="noConversion"/>
  </si>
  <si>
    <t>3일 돼지 7두 폐사(모돈4, 비육돈3)</t>
    <phoneticPr fontId="1" type="noConversion"/>
  </si>
  <si>
    <t>15일과 16일 모돈 2두씩 폐사</t>
    <phoneticPr fontId="1" type="noConversion"/>
  </si>
  <si>
    <t>경기</t>
    <phoneticPr fontId="1" type="noConversion"/>
  </si>
  <si>
    <t>경기</t>
    <phoneticPr fontId="1" type="noConversion"/>
  </si>
  <si>
    <t>경기</t>
    <phoneticPr fontId="1" type="noConversion"/>
  </si>
  <si>
    <t>인천</t>
    <phoneticPr fontId="1" type="noConversion"/>
  </si>
  <si>
    <t>인천</t>
    <phoneticPr fontId="1" type="noConversion"/>
  </si>
  <si>
    <t>경기</t>
    <phoneticPr fontId="1" type="noConversion"/>
  </si>
  <si>
    <t>경기</t>
    <phoneticPr fontId="1" type="noConversion"/>
  </si>
  <si>
    <t>강원</t>
    <phoneticPr fontId="1" type="noConversion"/>
  </si>
  <si>
    <t>강원</t>
    <phoneticPr fontId="1" type="noConversion"/>
  </si>
  <si>
    <t>강원</t>
    <phoneticPr fontId="1" type="noConversion"/>
  </si>
  <si>
    <t>강원</t>
    <phoneticPr fontId="1" type="noConversion"/>
  </si>
  <si>
    <t>강원</t>
    <phoneticPr fontId="1" type="noConversion"/>
  </si>
  <si>
    <t>강원</t>
    <phoneticPr fontId="1" type="noConversion"/>
  </si>
  <si>
    <t>강원</t>
    <phoneticPr fontId="1" type="noConversion"/>
  </si>
  <si>
    <t>강원</t>
    <phoneticPr fontId="1" type="noConversion"/>
  </si>
  <si>
    <t>강원</t>
    <phoneticPr fontId="1" type="noConversion"/>
  </si>
  <si>
    <t>경기</t>
    <phoneticPr fontId="1" type="noConversion"/>
  </si>
  <si>
    <t>경기</t>
    <phoneticPr fontId="1" type="noConversion"/>
  </si>
  <si>
    <t>강원</t>
    <phoneticPr fontId="1" type="noConversion"/>
  </si>
  <si>
    <t>경기</t>
    <phoneticPr fontId="1" type="noConversion"/>
  </si>
  <si>
    <t>경북</t>
    <phoneticPr fontId="1" type="noConversion"/>
  </si>
  <si>
    <t>경북</t>
    <phoneticPr fontId="1" type="noConversion"/>
  </si>
  <si>
    <t>경북</t>
    <phoneticPr fontId="1" type="noConversion"/>
  </si>
  <si>
    <t>경북</t>
    <phoneticPr fontId="1" type="noConversion"/>
  </si>
  <si>
    <t>발생년도</t>
    <phoneticPr fontId="1" type="noConversion"/>
  </si>
  <si>
    <t>계</t>
    <phoneticPr fontId="1" type="noConversion"/>
  </si>
  <si>
    <t>2019년</t>
    <phoneticPr fontId="1" type="noConversion"/>
  </si>
  <si>
    <t>2020년</t>
    <phoneticPr fontId="1" type="noConversion"/>
  </si>
  <si>
    <t>2021년</t>
    <phoneticPr fontId="1" type="noConversion"/>
  </si>
  <si>
    <t>2022년</t>
    <phoneticPr fontId="1" type="noConversion"/>
  </si>
  <si>
    <t>2023년</t>
    <phoneticPr fontId="1" type="noConversion"/>
  </si>
  <si>
    <t>2024년</t>
    <phoneticPr fontId="1" type="noConversion"/>
  </si>
  <si>
    <t>합 계</t>
    <phoneticPr fontId="1" type="noConversion"/>
  </si>
  <si>
    <t>경 기</t>
    <phoneticPr fontId="1" type="noConversion"/>
  </si>
  <si>
    <t>강 원</t>
    <phoneticPr fontId="1" type="noConversion"/>
  </si>
  <si>
    <t>인 천</t>
    <phoneticPr fontId="1" type="noConversion"/>
  </si>
  <si>
    <t>경 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</si>
  <si>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</si>
  <si>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</si>
  <si>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</si>
  <si>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양주 남면</t>
    <phoneticPr fontId="1" type="noConversion"/>
  </si>
  <si>
    <t>양주 남면</t>
    <phoneticPr fontId="1" type="noConversion"/>
  </si>
  <si>
    <t>양주 은현면</t>
    <phoneticPr fontId="1" type="noConversion"/>
  </si>
  <si>
    <t>경기</t>
    <phoneticPr fontId="1" type="noConversion"/>
  </si>
  <si>
    <t>경기</t>
    <phoneticPr fontId="1" type="noConversion"/>
  </si>
  <si>
    <t>모돈 5두 폐사, 8두 식욕부진</t>
    <phoneticPr fontId="1" type="noConversion"/>
  </si>
  <si>
    <t>모돈 5두 폐사</t>
    <phoneticPr fontId="1" type="noConversion"/>
  </si>
  <si>
    <t>자돈 40두, 모돈 4두 폐사</t>
    <phoneticPr fontId="1" type="noConversion"/>
  </si>
  <si>
    <t>2025년</t>
    <phoneticPr fontId="1" type="noConversion"/>
  </si>
  <si>
    <t>-</t>
    <phoneticPr fontId="1" type="noConversion"/>
  </si>
  <si>
    <t>경기</t>
    <phoneticPr fontId="1" type="noConversion"/>
  </si>
  <si>
    <t>파주 파평면</t>
    <phoneticPr fontId="1" type="noConversion"/>
  </si>
  <si>
    <t>모돈 2두 폐사</t>
    <phoneticPr fontId="1" type="noConversion"/>
  </si>
  <si>
    <t>연천 미산면</t>
    <phoneticPr fontId="1" type="noConversion"/>
  </si>
  <si>
    <t>동일 양돈단지, 예찰 검사서 비육돈 양성</t>
    <phoneticPr fontId="1" type="noConversion"/>
  </si>
  <si>
    <t>충남</t>
    <phoneticPr fontId="1" type="noConversion"/>
  </si>
  <si>
    <t>당진 송산면</t>
    <phoneticPr fontId="1" type="noConversion"/>
  </si>
  <si>
    <t>후보돈 6두 폐사</t>
    <phoneticPr fontId="1" type="noConversion"/>
  </si>
  <si>
    <t>충남</t>
    <phoneticPr fontId="1" type="noConversion"/>
  </si>
  <si>
    <t>2026년</t>
    <phoneticPr fontId="1" type="noConversion"/>
  </si>
  <si>
    <t>강원</t>
    <phoneticPr fontId="1" type="noConversion"/>
  </si>
  <si>
    <t>경기</t>
    <phoneticPr fontId="1" type="noConversion"/>
  </si>
  <si>
    <t>경기</t>
    <phoneticPr fontId="1" type="noConversion"/>
  </si>
  <si>
    <t>전남</t>
    <phoneticPr fontId="1" type="noConversion"/>
  </si>
  <si>
    <t>강릉 강동면</t>
    <phoneticPr fontId="1" type="noConversion"/>
  </si>
  <si>
    <t>안성 미양면</t>
    <phoneticPr fontId="1" type="noConversion"/>
  </si>
  <si>
    <t>포천 관인면</t>
    <phoneticPr fontId="1" type="noConversion"/>
  </si>
  <si>
    <t>영광 홍농읍</t>
    <phoneticPr fontId="1" type="noConversion"/>
  </si>
  <si>
    <t>모돈 40두 폐사(1.8~16), 호흡기 및 유산 증상</t>
    <phoneticPr fontId="1" type="noConversion"/>
  </si>
  <si>
    <t>모돈 12두 폐사(1.23~24)</t>
    <phoneticPr fontId="1" type="noConversion"/>
  </si>
  <si>
    <t>자돈 폐사 증가(평시 6~9두 → 13~17두)</t>
    <phoneticPr fontId="1" type="noConversion"/>
  </si>
  <si>
    <t>2026년</t>
    <phoneticPr fontId="1" type="noConversion"/>
  </si>
  <si>
    <t>-</t>
    <phoneticPr fontId="1" type="noConversion"/>
  </si>
  <si>
    <t>전남</t>
    <phoneticPr fontId="1" type="noConversion"/>
  </si>
  <si>
    <t>-</t>
    <phoneticPr fontId="1" type="noConversion"/>
  </si>
  <si>
    <t>국내 사육돼지 ASF 발생 현황</t>
    <phoneticPr fontId="1" type="noConversion"/>
  </si>
  <si>
    <t>19.10.1</t>
    <phoneticPr fontId="1" type="noConversion"/>
  </si>
  <si>
    <t>19.10.1(예찰)</t>
    <phoneticPr fontId="1" type="noConversion"/>
  </si>
  <si>
    <t>19.10.2</t>
    <phoneticPr fontId="1" type="noConversion"/>
  </si>
  <si>
    <t>19.10.02</t>
    <phoneticPr fontId="1" type="noConversion"/>
  </si>
  <si>
    <t>19.9.16</t>
    <phoneticPr fontId="1" type="noConversion"/>
  </si>
  <si>
    <t>19.9.17</t>
    <phoneticPr fontId="1" type="noConversion"/>
  </si>
  <si>
    <t>19.9.23</t>
    <phoneticPr fontId="1" type="noConversion"/>
  </si>
  <si>
    <t>19.9.23</t>
    <phoneticPr fontId="1" type="noConversion"/>
  </si>
  <si>
    <t>19.9.24(예찰)</t>
    <phoneticPr fontId="1" type="noConversion"/>
  </si>
  <si>
    <t>19.9.25</t>
    <phoneticPr fontId="1" type="noConversion"/>
  </si>
  <si>
    <t>19.9.25(예찰)</t>
    <phoneticPr fontId="1" type="noConversion"/>
  </si>
  <si>
    <t>19.9.26</t>
    <phoneticPr fontId="1" type="noConversion"/>
  </si>
  <si>
    <t>19.9.26</t>
    <phoneticPr fontId="1" type="noConversion"/>
  </si>
  <si>
    <t>19.10.9</t>
    <phoneticPr fontId="1" type="noConversion"/>
  </si>
  <si>
    <t>20.10.8(예찰)</t>
    <phoneticPr fontId="1" type="noConversion"/>
  </si>
  <si>
    <t>20.10.10(예찰)</t>
    <phoneticPr fontId="1" type="noConversion"/>
  </si>
  <si>
    <t>21.5.4</t>
    <phoneticPr fontId="1" type="noConversion"/>
  </si>
  <si>
    <t>21.8.7</t>
    <phoneticPr fontId="1" type="noConversion"/>
  </si>
  <si>
    <t>모돈 폐사 5두</t>
    <phoneticPr fontId="1" type="noConversion"/>
  </si>
  <si>
    <t>모돈 폐사 1두</t>
    <phoneticPr fontId="1" type="noConversion"/>
  </si>
  <si>
    <t>19.9.18</t>
    <phoneticPr fontId="1" type="noConversion"/>
  </si>
  <si>
    <t>19.9.23</t>
    <phoneticPr fontId="1" type="noConversion"/>
  </si>
  <si>
    <t>19.9.24</t>
    <phoneticPr fontId="1" type="noConversion"/>
  </si>
  <si>
    <t>19.9.24</t>
    <phoneticPr fontId="1" type="noConversion"/>
  </si>
  <si>
    <t>19.9.25</t>
    <phoneticPr fontId="1" type="noConversion"/>
  </si>
  <si>
    <t>19.9.26</t>
    <phoneticPr fontId="1" type="noConversion"/>
  </si>
  <si>
    <t>19.9.26</t>
    <phoneticPr fontId="1" type="noConversion"/>
  </si>
  <si>
    <t>19.9.27</t>
    <phoneticPr fontId="1" type="noConversion"/>
  </si>
  <si>
    <t>19.10.3</t>
    <phoneticPr fontId="1" type="noConversion"/>
  </si>
  <si>
    <t>19.10.9</t>
    <phoneticPr fontId="1" type="noConversion"/>
  </si>
  <si>
    <t>20.10.9</t>
    <phoneticPr fontId="1" type="noConversion"/>
  </si>
  <si>
    <t>20.10.1</t>
    <phoneticPr fontId="1" type="noConversion"/>
  </si>
  <si>
    <t>21.8.15(예찰)</t>
    <phoneticPr fontId="1" type="noConversion"/>
  </si>
  <si>
    <t>21.8.25(예찰)</t>
    <phoneticPr fontId="1" type="noConversion"/>
  </si>
  <si>
    <t>21.10.5(예찰)</t>
    <phoneticPr fontId="1" type="noConversion"/>
  </si>
  <si>
    <t>22.5.26</t>
    <phoneticPr fontId="1" type="noConversion"/>
  </si>
  <si>
    <t>22.8.18</t>
    <phoneticPr fontId="1" type="noConversion"/>
  </si>
  <si>
    <t>22.9.18</t>
    <phoneticPr fontId="1" type="noConversion"/>
  </si>
  <si>
    <t>22.9.19(예찰)</t>
    <phoneticPr fontId="1" type="noConversion"/>
  </si>
  <si>
    <t>22.9.28</t>
    <phoneticPr fontId="1" type="noConversion"/>
  </si>
  <si>
    <t>22.9.28</t>
    <phoneticPr fontId="1" type="noConversion"/>
  </si>
  <si>
    <t>22.11.09</t>
    <phoneticPr fontId="1" type="noConversion"/>
  </si>
  <si>
    <t>23.1.5(예찰)</t>
    <phoneticPr fontId="1" type="noConversion"/>
  </si>
  <si>
    <t>23.1.11(예찰)</t>
    <phoneticPr fontId="1" type="noConversion"/>
  </si>
  <si>
    <t>23.1.22</t>
    <phoneticPr fontId="1" type="noConversion"/>
  </si>
  <si>
    <t>23.2.11</t>
    <phoneticPr fontId="1" type="noConversion"/>
  </si>
  <si>
    <t>24.1.15</t>
    <phoneticPr fontId="1" type="noConversion"/>
  </si>
  <si>
    <t>24.1.18</t>
    <phoneticPr fontId="1" type="noConversion"/>
  </si>
  <si>
    <t>24.5.21</t>
    <phoneticPr fontId="1" type="noConversion"/>
  </si>
  <si>
    <t>24.6.15</t>
    <phoneticPr fontId="1" type="noConversion"/>
  </si>
  <si>
    <t>24.7.2</t>
    <phoneticPr fontId="1" type="noConversion"/>
  </si>
  <si>
    <t>23.3.19</t>
    <phoneticPr fontId="1" type="noConversion"/>
  </si>
  <si>
    <t>23.3.29</t>
    <phoneticPr fontId="1" type="noConversion"/>
  </si>
  <si>
    <t>23.3.31(예찰)</t>
    <phoneticPr fontId="1" type="noConversion"/>
  </si>
  <si>
    <t>23.4.13(예찰)</t>
    <phoneticPr fontId="1" type="noConversion"/>
  </si>
  <si>
    <t>23.7.18(예찰)</t>
    <phoneticPr fontId="1" type="noConversion"/>
  </si>
  <si>
    <t>23.9.25(예찰)</t>
    <phoneticPr fontId="1" type="noConversion"/>
  </si>
  <si>
    <t>24.7.6</t>
    <phoneticPr fontId="1" type="noConversion"/>
  </si>
  <si>
    <t>24.8.12</t>
    <phoneticPr fontId="1" type="noConversion"/>
  </si>
  <si>
    <t>24.8.3</t>
    <phoneticPr fontId="1" type="noConversion"/>
  </si>
  <si>
    <t>24.10.13</t>
    <phoneticPr fontId="1" type="noConversion"/>
  </si>
  <si>
    <t>24.11.03</t>
    <phoneticPr fontId="1" type="noConversion"/>
  </si>
  <si>
    <t>24.12.16</t>
    <phoneticPr fontId="1" type="noConversion"/>
  </si>
  <si>
    <t>2023년</t>
    <phoneticPr fontId="1" type="noConversion"/>
  </si>
  <si>
    <t>2025년</t>
    <phoneticPr fontId="1" type="noConversion"/>
  </si>
  <si>
    <t>25.1.2</t>
    <phoneticPr fontId="1" type="noConversion"/>
  </si>
  <si>
    <t>25.1.28</t>
    <phoneticPr fontId="1" type="noConversion"/>
  </si>
  <si>
    <t>25.3.16</t>
    <phoneticPr fontId="1" type="noConversion"/>
  </si>
  <si>
    <t>25.7.16</t>
    <phoneticPr fontId="1" type="noConversion"/>
  </si>
  <si>
    <t>25.7.17</t>
    <phoneticPr fontId="1" type="noConversion"/>
  </si>
  <si>
    <t>25.9.14</t>
    <phoneticPr fontId="1" type="noConversion"/>
  </si>
  <si>
    <t>25.11.24</t>
    <phoneticPr fontId="1" type="noConversion"/>
  </si>
  <si>
    <t>26.1.16</t>
    <phoneticPr fontId="1" type="noConversion"/>
  </si>
  <si>
    <t>26.1.23</t>
    <phoneticPr fontId="1" type="noConversion"/>
  </si>
  <si>
    <t>26.1.24</t>
    <phoneticPr fontId="1" type="noConversion"/>
  </si>
  <si>
    <t>26.1.26</t>
    <phoneticPr fontId="1" type="noConversion"/>
  </si>
  <si>
    <t>21.5.5</t>
    <phoneticPr fontId="1" type="noConversion"/>
  </si>
  <si>
    <t>21.8.8</t>
    <phoneticPr fontId="1" type="noConversion"/>
  </si>
  <si>
    <t>21.8.16</t>
    <phoneticPr fontId="1" type="noConversion"/>
  </si>
  <si>
    <t>21.8.26</t>
    <phoneticPr fontId="1" type="noConversion"/>
  </si>
  <si>
    <t>21.10.6</t>
    <phoneticPr fontId="1" type="noConversion"/>
  </si>
  <si>
    <t>22.5.26</t>
    <phoneticPr fontId="1" type="noConversion"/>
  </si>
  <si>
    <t>22.8.18</t>
    <phoneticPr fontId="1" type="noConversion"/>
  </si>
  <si>
    <t>22.9.19</t>
    <phoneticPr fontId="1" type="noConversion"/>
  </si>
  <si>
    <t>22.9.2</t>
    <phoneticPr fontId="1" type="noConversion"/>
  </si>
  <si>
    <t>22.8.28</t>
    <phoneticPr fontId="1" type="noConversion"/>
  </si>
  <si>
    <t>22.9.29</t>
    <phoneticPr fontId="1" type="noConversion"/>
  </si>
  <si>
    <t>22.11.9</t>
    <phoneticPr fontId="1" type="noConversion"/>
  </si>
  <si>
    <t>23.1.6</t>
    <phoneticPr fontId="1" type="noConversion"/>
  </si>
  <si>
    <t>23.1.11</t>
    <phoneticPr fontId="1" type="noConversion"/>
  </si>
  <si>
    <t>23.1.22</t>
    <phoneticPr fontId="1" type="noConversion"/>
  </si>
  <si>
    <t>23.2.12</t>
    <phoneticPr fontId="1" type="noConversion"/>
  </si>
  <si>
    <t>23.3.20</t>
    <phoneticPr fontId="1" type="noConversion"/>
  </si>
  <si>
    <t>23.3.30</t>
    <phoneticPr fontId="1" type="noConversion"/>
  </si>
  <si>
    <t>23.3.31</t>
    <phoneticPr fontId="1" type="noConversion"/>
  </si>
  <si>
    <t>23.4.14</t>
    <phoneticPr fontId="1" type="noConversion"/>
  </si>
  <si>
    <t>23.7.18</t>
    <phoneticPr fontId="1" type="noConversion"/>
  </si>
  <si>
    <t>23.9.25</t>
    <phoneticPr fontId="1" type="noConversion"/>
  </si>
  <si>
    <t>24.1.16</t>
    <phoneticPr fontId="1" type="noConversion"/>
  </si>
  <si>
    <t>24.1.18</t>
    <phoneticPr fontId="1" type="noConversion"/>
  </si>
  <si>
    <t>24.7.2</t>
    <phoneticPr fontId="1" type="noConversion"/>
  </si>
  <si>
    <t>24.7.7</t>
    <phoneticPr fontId="1" type="noConversion"/>
  </si>
  <si>
    <t>24.8.12</t>
    <phoneticPr fontId="1" type="noConversion"/>
  </si>
  <si>
    <t>24.8.31</t>
    <phoneticPr fontId="1" type="noConversion"/>
  </si>
  <si>
    <t>24.11.03</t>
    <phoneticPr fontId="1" type="noConversion"/>
  </si>
  <si>
    <t>25.1.2</t>
    <phoneticPr fontId="1" type="noConversion"/>
  </si>
  <si>
    <t>25.1.28</t>
    <phoneticPr fontId="1" type="noConversion"/>
  </si>
  <si>
    <t>25.3.16</t>
    <phoneticPr fontId="1" type="noConversion"/>
  </si>
  <si>
    <t>25.7.16</t>
    <phoneticPr fontId="1" type="noConversion"/>
  </si>
  <si>
    <t>25.9.14</t>
    <phoneticPr fontId="1" type="noConversion"/>
  </si>
  <si>
    <t>25.11.25</t>
    <phoneticPr fontId="1" type="noConversion"/>
  </si>
  <si>
    <t>년도</t>
    <phoneticPr fontId="1" type="noConversion"/>
  </si>
  <si>
    <t>발생내용</t>
    <phoneticPr fontId="1" type="noConversion"/>
  </si>
  <si>
    <t>도</t>
    <phoneticPr fontId="1" type="noConversion"/>
  </si>
  <si>
    <t>시군</t>
    <phoneticPr fontId="1" type="noConversion"/>
  </si>
  <si>
    <t>전북</t>
    <phoneticPr fontId="1" type="noConversion"/>
  </si>
  <si>
    <t>경남</t>
    <phoneticPr fontId="1" type="noConversion"/>
  </si>
  <si>
    <t>고창 성송면</t>
    <phoneticPr fontId="1" type="noConversion"/>
  </si>
  <si>
    <t>보령 청소면</t>
    <phoneticPr fontId="1" type="noConversion"/>
  </si>
  <si>
    <t>창녕 대합면</t>
    <phoneticPr fontId="1" type="noConversion"/>
  </si>
  <si>
    <t>26.2.1</t>
    <phoneticPr fontId="1" type="noConversion"/>
  </si>
  <si>
    <t>26.2.3</t>
    <phoneticPr fontId="1" type="noConversion"/>
  </si>
  <si>
    <t>26.2.4</t>
    <phoneticPr fontId="1" type="noConversion"/>
  </si>
  <si>
    <t>26.1.17</t>
    <phoneticPr fontId="1" type="noConversion"/>
  </si>
  <si>
    <t>26.1.26</t>
    <phoneticPr fontId="1" type="noConversion"/>
  </si>
  <si>
    <t>자돈 폐사 증가(59차 가족농장)</t>
    <phoneticPr fontId="1" type="noConversion"/>
  </si>
  <si>
    <t>자돈 폐사 증가</t>
    <phoneticPr fontId="1" type="noConversion"/>
  </si>
  <si>
    <t>전북</t>
    <phoneticPr fontId="1" type="noConversion"/>
  </si>
  <si>
    <t>경남</t>
    <phoneticPr fontId="1" type="noConversion"/>
  </si>
  <si>
    <t>-</t>
    <phoneticPr fontId="1" type="noConversion"/>
  </si>
  <si>
    <t>1번</t>
    <phoneticPr fontId="1" type="noConversion"/>
  </si>
  <si>
    <t>2번</t>
    <phoneticPr fontId="1" type="noConversion"/>
  </si>
  <si>
    <t>3번</t>
    <phoneticPr fontId="1" type="noConversion"/>
  </si>
  <si>
    <t>4번</t>
  </si>
  <si>
    <t>5번</t>
  </si>
  <si>
    <t>6번</t>
  </si>
  <si>
    <t>7번</t>
  </si>
  <si>
    <t>8번</t>
  </si>
  <si>
    <t>9번</t>
  </si>
  <si>
    <t>10번</t>
  </si>
  <si>
    <t>11번</t>
  </si>
  <si>
    <t>12번</t>
  </si>
  <si>
    <t>13번</t>
  </si>
  <si>
    <t>14번</t>
  </si>
  <si>
    <t>15번</t>
  </si>
  <si>
    <t>16번</t>
  </si>
  <si>
    <t>17번</t>
  </si>
  <si>
    <t>18번</t>
  </si>
  <si>
    <t>19번</t>
  </si>
  <si>
    <t>20번</t>
  </si>
  <si>
    <t>21번</t>
  </si>
  <si>
    <t>22번</t>
  </si>
  <si>
    <t>23번</t>
  </si>
  <si>
    <t>24번</t>
  </si>
  <si>
    <t>25번</t>
  </si>
  <si>
    <t>26번</t>
  </si>
  <si>
    <t>27번</t>
  </si>
  <si>
    <t>28번</t>
  </si>
  <si>
    <t>29번</t>
  </si>
  <si>
    <t>30번</t>
  </si>
  <si>
    <t>31번</t>
  </si>
  <si>
    <t>32번</t>
  </si>
  <si>
    <t>33번</t>
  </si>
  <si>
    <t>34번</t>
  </si>
  <si>
    <t>35번</t>
  </si>
  <si>
    <t>36번</t>
  </si>
  <si>
    <t>37번</t>
  </si>
  <si>
    <t>38번</t>
  </si>
  <si>
    <t>39번</t>
  </si>
  <si>
    <t>40번</t>
  </si>
  <si>
    <t>41번</t>
  </si>
  <si>
    <t>42번</t>
  </si>
  <si>
    <t>43번</t>
  </si>
  <si>
    <t>44번</t>
  </si>
  <si>
    <t>45번</t>
  </si>
  <si>
    <t>46번</t>
  </si>
  <si>
    <t>47번</t>
  </si>
  <si>
    <t>48번</t>
  </si>
  <si>
    <t>49번</t>
  </si>
  <si>
    <t>50번</t>
  </si>
  <si>
    <t>51번</t>
  </si>
  <si>
    <t>52번</t>
  </si>
  <si>
    <t>53번</t>
  </si>
  <si>
    <t>53-1번</t>
    <phoneticPr fontId="1" type="noConversion"/>
  </si>
  <si>
    <t>54번</t>
    <phoneticPr fontId="1" type="noConversion"/>
  </si>
  <si>
    <t>55번</t>
    <phoneticPr fontId="1" type="noConversion"/>
  </si>
  <si>
    <t>56번</t>
  </si>
  <si>
    <t>57번</t>
  </si>
  <si>
    <t>58번</t>
  </si>
  <si>
    <t>59번</t>
  </si>
  <si>
    <t>60번</t>
  </si>
  <si>
    <t>61번</t>
  </si>
  <si>
    <t>62번</t>
  </si>
  <si>
    <t>63번</t>
    <phoneticPr fontId="1" type="noConversion"/>
  </si>
  <si>
    <t>64번</t>
    <phoneticPr fontId="1" type="noConversion"/>
  </si>
  <si>
    <t>경기</t>
    <phoneticPr fontId="1" type="noConversion"/>
  </si>
  <si>
    <t>포천 관인면</t>
    <phoneticPr fontId="1" type="noConversion"/>
  </si>
  <si>
    <t>화성 남양읍</t>
    <phoneticPr fontId="1" type="noConversion"/>
  </si>
  <si>
    <t>26.2.6</t>
    <phoneticPr fontId="1" type="noConversion"/>
  </si>
  <si>
    <t>26.2.7</t>
    <phoneticPr fontId="1" type="noConversion"/>
  </si>
  <si>
    <t>26.2.8</t>
    <phoneticPr fontId="1" type="noConversion"/>
  </si>
  <si>
    <t>후보돈 5두, 비육돈 7두 폐사</t>
    <phoneticPr fontId="1" type="noConversion"/>
  </si>
  <si>
    <t>출하 전 검사 양성 1두 검출</t>
    <phoneticPr fontId="1" type="noConversion"/>
  </si>
  <si>
    <t>자돈 질병 진단 의뢰 가검물서 양성</t>
    <phoneticPr fontId="1" type="noConversion"/>
  </si>
  <si>
    <t>모돈 4두 폐사(1.22~23), 다수 식욕부진</t>
    <phoneticPr fontId="1" type="noConversion"/>
  </si>
  <si>
    <t>나주 봉황면</t>
    <phoneticPr fontId="1" type="noConversion"/>
  </si>
  <si>
    <t>26.2.9</t>
    <phoneticPr fontId="1" type="noConversion"/>
  </si>
  <si>
    <t>최근 2일간 모돈 2마리, 자돈 6마리 폐사</t>
    <phoneticPr fontId="1" type="noConversion"/>
  </si>
  <si>
    <t>65번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</si>
</sst>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;[Red]\-#,##0\ "/>
  </numFmts>
  <fonts count="6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8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right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2" fillId="2" borderId="6" xfId="0" applyNumberFormat="1" applyFont="1" applyFill="1" applyBorder="1" applyAlignment="1">
      <alignment horizontal="center" vertical="center"/>
    </xf>
    <xf numFmtId="176" fontId="2" fillId="2" borderId="6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76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6" fontId="0" fillId="2" borderId="1" xfId="0" applyNumberFormat="1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6" xfId="0" applyFill="1" applyBorder="1" applyAlignment="1">
      <alignment horizontal="center" vertical="center"/>
    </xf>
    <xf numFmtId="176" fontId="0" fillId="2" borderId="6" xfId="0" applyNumberFormat="1" applyFill="1" applyBorder="1" applyAlignment="1">
      <alignment vertical="center"/>
    </xf>
    <xf numFmtId="0" fontId="0" fillId="4" borderId="7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76" fontId="2" fillId="6" borderId="7" xfId="0" applyNumberFormat="1" applyFont="1" applyFill="1" applyBorder="1" applyAlignment="1">
      <alignment horizontal="center" vertical="center"/>
    </xf>
    <xf numFmtId="176" fontId="0" fillId="2" borderId="5" xfId="0" applyNumberFormat="1" applyFill="1" applyBorder="1" applyAlignment="1">
      <alignment horizontal="center" vertical="center"/>
    </xf>
    <xf numFmtId="176" fontId="0" fillId="2" borderId="9" xfId="0" applyNumberFormat="1" applyFill="1" applyBorder="1" applyAlignment="1">
      <alignment horizontal="center" vertical="center"/>
    </xf>
    <xf numFmtId="176" fontId="0" fillId="2" borderId="10" xfId="0" applyNumberForma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7" fontId="2" fillId="2" borderId="1" xfId="0" quotePrefix="1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76" fontId="0" fillId="2" borderId="6" xfId="0" applyNumberFormat="1" applyFill="1" applyBorder="1" applyAlignment="1">
      <alignment horizontal="center" vertical="center"/>
    </xf>
    <xf numFmtId="176" fontId="0" fillId="2" borderId="11" xfId="0" applyNumberForma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9"/>
  <sheetViews>
    <sheetView tabSelected="1" topLeftCell="A55" workbookViewId="0">
      <selection activeCell="A69" sqref="A69:F69"/>
    </sheetView>
  </sheetViews>
  <sheetFormatPr defaultColWidth="9" defaultRowHeight="17.399999999999999" x14ac:dyDescent="0.4"/>
  <cols>
    <col min="1" max="1" width="9" style="1"/>
    <col min="2" max="2" width="5.5" style="1" bestFit="1" customWidth="1"/>
    <col min="3" max="3" width="17.8984375" style="1" bestFit="1" customWidth="1"/>
    <col min="4" max="4" width="9" style="1" customWidth="1"/>
    <col min="5" max="5" width="15" style="1" bestFit="1" customWidth="1"/>
    <col min="6" max="6" width="9" style="1" bestFit="1" customWidth="1"/>
    <col min="7" max="7" width="9.59765625" style="1" bestFit="1" customWidth="1"/>
    <col min="8" max="8" width="38.5" style="1" bestFit="1" customWidth="1"/>
    <col min="9" max="16384" width="9" style="1"/>
  </cols>
  <sheetData>
    <row r="1" spans="1:8" ht="27.6" x14ac:dyDescent="0.4">
      <c r="A1" s="36" t="s">
        <v>187</v>
      </c>
      <c r="B1" s="36"/>
      <c r="C1" s="36"/>
      <c r="D1" s="36"/>
      <c r="E1" s="36"/>
      <c r="F1" s="36"/>
      <c r="G1" s="36"/>
      <c r="H1" s="36"/>
    </row>
    <row r="2" spans="1:8" ht="22.5" customHeight="1" thickBot="1" x14ac:dyDescent="0.45">
      <c r="A2" s="11" t="s">
        <v>0</v>
      </c>
      <c r="B2" s="11" t="s">
        <v>301</v>
      </c>
      <c r="C2" s="11" t="s">
        <v>302</v>
      </c>
      <c r="D2" s="11" t="s">
        <v>299</v>
      </c>
      <c r="E2" s="33" t="s">
        <v>1</v>
      </c>
      <c r="F2" s="11" t="s">
        <v>2</v>
      </c>
      <c r="G2" s="11" t="s">
        <v>3</v>
      </c>
      <c r="H2" s="11" t="s">
        <v>300</v>
      </c>
    </row>
    <row r="3" spans="1:8" ht="22.5" customHeight="1" thickTop="1" x14ac:dyDescent="0.4">
      <c r="A3" s="7" t="s">
        <v>318</v>
      </c>
      <c r="B3" s="23" t="s">
        <v>112</v>
      </c>
      <c r="C3" s="7" t="s">
        <v>5</v>
      </c>
      <c r="D3" s="34" t="s">
        <v>37</v>
      </c>
      <c r="E3" s="4" t="s">
        <v>192</v>
      </c>
      <c r="F3" s="7" t="s">
        <v>193</v>
      </c>
      <c r="G3" s="5">
        <v>2369</v>
      </c>
      <c r="H3" s="7" t="s">
        <v>206</v>
      </c>
    </row>
    <row r="4" spans="1:8" ht="22.5" customHeight="1" x14ac:dyDescent="0.4">
      <c r="A4" s="9" t="s">
        <v>319</v>
      </c>
      <c r="B4" s="20" t="s">
        <v>113</v>
      </c>
      <c r="C4" s="9" t="s">
        <v>6</v>
      </c>
      <c r="D4" s="20" t="s">
        <v>37</v>
      </c>
      <c r="E4" s="6" t="s">
        <v>193</v>
      </c>
      <c r="F4" s="9" t="s">
        <v>208</v>
      </c>
      <c r="G4" s="3">
        <v>4638</v>
      </c>
      <c r="H4" s="9" t="s">
        <v>207</v>
      </c>
    </row>
    <row r="5" spans="1:8" ht="22.5" customHeight="1" x14ac:dyDescent="0.4">
      <c r="A5" s="9" t="s">
        <v>320</v>
      </c>
      <c r="B5" s="20" t="s">
        <v>112</v>
      </c>
      <c r="C5" s="9" t="s">
        <v>7</v>
      </c>
      <c r="D5" s="20" t="s">
        <v>37</v>
      </c>
      <c r="E5" s="6" t="s">
        <v>194</v>
      </c>
      <c r="F5" s="9" t="s">
        <v>209</v>
      </c>
      <c r="G5" s="3">
        <v>2119</v>
      </c>
      <c r="H5" s="9" t="s">
        <v>49</v>
      </c>
    </row>
    <row r="6" spans="1:8" ht="22.5" customHeight="1" x14ac:dyDescent="0.4">
      <c r="A6" s="20" t="s">
        <v>321</v>
      </c>
      <c r="B6" s="20" t="s">
        <v>114</v>
      </c>
      <c r="C6" s="9" t="s">
        <v>8</v>
      </c>
      <c r="D6" s="20" t="s">
        <v>37</v>
      </c>
      <c r="E6" s="6" t="s">
        <v>195</v>
      </c>
      <c r="F6" s="9" t="s">
        <v>210</v>
      </c>
      <c r="G6" s="3">
        <v>2273</v>
      </c>
      <c r="H6" s="9" t="s">
        <v>50</v>
      </c>
    </row>
    <row r="7" spans="1:8" ht="22.5" customHeight="1" x14ac:dyDescent="0.4">
      <c r="A7" s="20" t="s">
        <v>322</v>
      </c>
      <c r="B7" s="20" t="s">
        <v>115</v>
      </c>
      <c r="C7" s="9" t="s">
        <v>9</v>
      </c>
      <c r="D7" s="20" t="s">
        <v>37</v>
      </c>
      <c r="E7" s="6" t="s">
        <v>196</v>
      </c>
      <c r="F7" s="9" t="s">
        <v>211</v>
      </c>
      <c r="G7" s="3">
        <v>388</v>
      </c>
      <c r="H7" s="9" t="s">
        <v>39</v>
      </c>
    </row>
    <row r="8" spans="1:8" ht="22.5" customHeight="1" x14ac:dyDescent="0.4">
      <c r="A8" s="20" t="s">
        <v>323</v>
      </c>
      <c r="B8" s="20" t="s">
        <v>116</v>
      </c>
      <c r="C8" s="9" t="s">
        <v>10</v>
      </c>
      <c r="D8" s="20" t="s">
        <v>37</v>
      </c>
      <c r="E8" s="6" t="s">
        <v>197</v>
      </c>
      <c r="F8" s="9" t="s">
        <v>212</v>
      </c>
      <c r="G8" s="3">
        <v>869</v>
      </c>
      <c r="H8" s="9" t="s">
        <v>51</v>
      </c>
    </row>
    <row r="9" spans="1:8" ht="22.5" customHeight="1" x14ac:dyDescent="0.4">
      <c r="A9" s="20" t="s">
        <v>324</v>
      </c>
      <c r="B9" s="20" t="s">
        <v>116</v>
      </c>
      <c r="C9" s="9" t="s">
        <v>11</v>
      </c>
      <c r="D9" s="20" t="s">
        <v>37</v>
      </c>
      <c r="E9" s="6" t="s">
        <v>198</v>
      </c>
      <c r="F9" s="9" t="s">
        <v>213</v>
      </c>
      <c r="G9" s="3">
        <v>2</v>
      </c>
      <c r="H9" s="9" t="s">
        <v>88</v>
      </c>
    </row>
    <row r="10" spans="1:8" ht="22.5" customHeight="1" x14ac:dyDescent="0.4">
      <c r="A10" s="20" t="s">
        <v>325</v>
      </c>
      <c r="B10" s="20" t="s">
        <v>115</v>
      </c>
      <c r="C10" s="9" t="s">
        <v>12</v>
      </c>
      <c r="D10" s="20" t="s">
        <v>37</v>
      </c>
      <c r="E10" s="6" t="s">
        <v>199</v>
      </c>
      <c r="F10" s="9" t="s">
        <v>214</v>
      </c>
      <c r="G10" s="3">
        <v>1125</v>
      </c>
      <c r="H10" s="9" t="s">
        <v>52</v>
      </c>
    </row>
    <row r="11" spans="1:8" ht="22.5" customHeight="1" x14ac:dyDescent="0.4">
      <c r="A11" s="20" t="s">
        <v>326</v>
      </c>
      <c r="B11" s="20" t="s">
        <v>116</v>
      </c>
      <c r="C11" s="9" t="s">
        <v>13</v>
      </c>
      <c r="D11" s="20" t="s">
        <v>37</v>
      </c>
      <c r="E11" s="6" t="s">
        <v>200</v>
      </c>
      <c r="F11" s="9" t="s">
        <v>215</v>
      </c>
      <c r="G11" s="3">
        <v>2123</v>
      </c>
      <c r="H11" s="9" t="s">
        <v>53</v>
      </c>
    </row>
    <row r="12" spans="1:8" ht="22.5" customHeight="1" x14ac:dyDescent="0.4">
      <c r="A12" s="20" t="s">
        <v>327</v>
      </c>
      <c r="B12" s="20" t="s">
        <v>112</v>
      </c>
      <c r="C12" s="9" t="s">
        <v>14</v>
      </c>
      <c r="D12" s="20" t="s">
        <v>37</v>
      </c>
      <c r="E12" s="6" t="s">
        <v>188</v>
      </c>
      <c r="F12" s="9" t="s">
        <v>190</v>
      </c>
      <c r="G12" s="3">
        <v>2661</v>
      </c>
      <c r="H12" s="9" t="s">
        <v>54</v>
      </c>
    </row>
    <row r="13" spans="1:8" ht="22.5" customHeight="1" x14ac:dyDescent="0.4">
      <c r="A13" s="20" t="s">
        <v>328</v>
      </c>
      <c r="B13" s="20" t="s">
        <v>117</v>
      </c>
      <c r="C13" s="9" t="s">
        <v>15</v>
      </c>
      <c r="D13" s="20" t="s">
        <v>37</v>
      </c>
      <c r="E13" s="6" t="s">
        <v>189</v>
      </c>
      <c r="F13" s="9" t="s">
        <v>190</v>
      </c>
      <c r="G13" s="3">
        <v>19</v>
      </c>
      <c r="H13" s="9" t="s">
        <v>40</v>
      </c>
    </row>
    <row r="14" spans="1:8" ht="22.5" customHeight="1" x14ac:dyDescent="0.4">
      <c r="A14" s="20" t="s">
        <v>329</v>
      </c>
      <c r="B14" s="20" t="s">
        <v>112</v>
      </c>
      <c r="C14" s="9" t="s">
        <v>16</v>
      </c>
      <c r="D14" s="20" t="s">
        <v>37</v>
      </c>
      <c r="E14" s="6" t="s">
        <v>190</v>
      </c>
      <c r="F14" s="9" t="s">
        <v>216</v>
      </c>
      <c r="G14" s="3">
        <v>2267</v>
      </c>
      <c r="H14" s="9" t="s">
        <v>55</v>
      </c>
    </row>
    <row r="15" spans="1:8" ht="22.5" customHeight="1" x14ac:dyDescent="0.4">
      <c r="A15" s="20" t="s">
        <v>330</v>
      </c>
      <c r="B15" s="20" t="s">
        <v>118</v>
      </c>
      <c r="C15" s="9" t="s">
        <v>17</v>
      </c>
      <c r="D15" s="20" t="s">
        <v>37</v>
      </c>
      <c r="E15" s="6" t="s">
        <v>191</v>
      </c>
      <c r="F15" s="9" t="s">
        <v>216</v>
      </c>
      <c r="G15" s="3">
        <v>2916</v>
      </c>
      <c r="H15" s="9" t="s">
        <v>56</v>
      </c>
    </row>
    <row r="16" spans="1:8" ht="22.5" customHeight="1" x14ac:dyDescent="0.4">
      <c r="A16" s="20" t="s">
        <v>331</v>
      </c>
      <c r="B16" s="20" t="s">
        <v>114</v>
      </c>
      <c r="C16" s="9" t="s">
        <v>18</v>
      </c>
      <c r="D16" s="20" t="s">
        <v>37</v>
      </c>
      <c r="E16" s="6" t="s">
        <v>201</v>
      </c>
      <c r="F16" s="9" t="s">
        <v>217</v>
      </c>
      <c r="G16" s="3">
        <v>4245</v>
      </c>
      <c r="H16" s="9" t="s">
        <v>57</v>
      </c>
    </row>
    <row r="17" spans="1:8" ht="22.5" customHeight="1" x14ac:dyDescent="0.4">
      <c r="A17" s="20" t="s">
        <v>332</v>
      </c>
      <c r="B17" s="20" t="s">
        <v>119</v>
      </c>
      <c r="C17" s="9" t="s">
        <v>19</v>
      </c>
      <c r="D17" s="20" t="s">
        <v>36</v>
      </c>
      <c r="E17" s="6" t="s">
        <v>202</v>
      </c>
      <c r="F17" s="9" t="s">
        <v>218</v>
      </c>
      <c r="G17" s="3">
        <v>726</v>
      </c>
      <c r="H17" s="9" t="s">
        <v>41</v>
      </c>
    </row>
    <row r="18" spans="1:8" ht="22.5" customHeight="1" x14ac:dyDescent="0.4">
      <c r="A18" s="20" t="s">
        <v>333</v>
      </c>
      <c r="B18" s="20" t="s">
        <v>120</v>
      </c>
      <c r="C18" s="9" t="s">
        <v>20</v>
      </c>
      <c r="D18" s="20" t="s">
        <v>36</v>
      </c>
      <c r="E18" s="6" t="s">
        <v>203</v>
      </c>
      <c r="F18" s="9" t="s">
        <v>219</v>
      </c>
      <c r="G18" s="3">
        <v>1020</v>
      </c>
      <c r="H18" s="9" t="s">
        <v>58</v>
      </c>
    </row>
    <row r="19" spans="1:8" ht="22.5" customHeight="1" x14ac:dyDescent="0.4">
      <c r="A19" s="20" t="s">
        <v>334</v>
      </c>
      <c r="B19" s="20" t="s">
        <v>121</v>
      </c>
      <c r="C19" s="9" t="s">
        <v>21</v>
      </c>
      <c r="D19" s="20" t="s">
        <v>140</v>
      </c>
      <c r="E19" s="6" t="s">
        <v>204</v>
      </c>
      <c r="F19" s="9" t="s">
        <v>264</v>
      </c>
      <c r="G19" s="3">
        <v>385</v>
      </c>
      <c r="H19" s="9" t="s">
        <v>59</v>
      </c>
    </row>
    <row r="20" spans="1:8" ht="22.5" customHeight="1" x14ac:dyDescent="0.4">
      <c r="A20" s="20" t="s">
        <v>335</v>
      </c>
      <c r="B20" s="20" t="s">
        <v>120</v>
      </c>
      <c r="C20" s="9" t="s">
        <v>22</v>
      </c>
      <c r="D20" s="20" t="s">
        <v>140</v>
      </c>
      <c r="E20" s="6" t="s">
        <v>205</v>
      </c>
      <c r="F20" s="9" t="s">
        <v>265</v>
      </c>
      <c r="G20" s="3">
        <v>2387</v>
      </c>
      <c r="H20" s="9" t="s">
        <v>42</v>
      </c>
    </row>
    <row r="21" spans="1:8" ht="22.5" customHeight="1" x14ac:dyDescent="0.4">
      <c r="A21" s="20" t="s">
        <v>336</v>
      </c>
      <c r="B21" s="20" t="s">
        <v>122</v>
      </c>
      <c r="C21" s="9" t="s">
        <v>23</v>
      </c>
      <c r="D21" s="20" t="s">
        <v>140</v>
      </c>
      <c r="E21" s="6" t="s">
        <v>220</v>
      </c>
      <c r="F21" s="9" t="s">
        <v>266</v>
      </c>
      <c r="G21" s="3">
        <v>1801</v>
      </c>
      <c r="H21" s="9" t="s">
        <v>43</v>
      </c>
    </row>
    <row r="22" spans="1:8" ht="22.5" customHeight="1" x14ac:dyDescent="0.4">
      <c r="A22" s="20" t="s">
        <v>337</v>
      </c>
      <c r="B22" s="20" t="s">
        <v>123</v>
      </c>
      <c r="C22" s="9" t="s">
        <v>24</v>
      </c>
      <c r="D22" s="20" t="s">
        <v>140</v>
      </c>
      <c r="E22" s="6" t="s">
        <v>221</v>
      </c>
      <c r="F22" s="9" t="s">
        <v>267</v>
      </c>
      <c r="G22" s="3">
        <v>2300</v>
      </c>
      <c r="H22" s="9" t="s">
        <v>44</v>
      </c>
    </row>
    <row r="23" spans="1:8" ht="22.5" customHeight="1" x14ac:dyDescent="0.4">
      <c r="A23" s="20" t="s">
        <v>338</v>
      </c>
      <c r="B23" s="20" t="s">
        <v>124</v>
      </c>
      <c r="C23" s="9" t="s">
        <v>25</v>
      </c>
      <c r="D23" s="20" t="s">
        <v>140</v>
      </c>
      <c r="E23" s="6" t="s">
        <v>222</v>
      </c>
      <c r="F23" s="9" t="s">
        <v>268</v>
      </c>
      <c r="G23" s="3">
        <v>579</v>
      </c>
      <c r="H23" s="9" t="s">
        <v>45</v>
      </c>
    </row>
    <row r="24" spans="1:8" ht="22.5" customHeight="1" x14ac:dyDescent="0.4">
      <c r="A24" s="20" t="s">
        <v>339</v>
      </c>
      <c r="B24" s="20" t="s">
        <v>124</v>
      </c>
      <c r="C24" s="9" t="s">
        <v>26</v>
      </c>
      <c r="D24" s="20" t="s">
        <v>38</v>
      </c>
      <c r="E24" s="6" t="s">
        <v>223</v>
      </c>
      <c r="F24" s="20" t="s">
        <v>269</v>
      </c>
      <c r="G24" s="3">
        <v>1175</v>
      </c>
      <c r="H24" s="9" t="s">
        <v>46</v>
      </c>
    </row>
    <row r="25" spans="1:8" ht="22.5" customHeight="1" x14ac:dyDescent="0.4">
      <c r="A25" s="20" t="s">
        <v>340</v>
      </c>
      <c r="B25" s="20" t="s">
        <v>125</v>
      </c>
      <c r="C25" s="9" t="s">
        <v>27</v>
      </c>
      <c r="D25" s="20" t="s">
        <v>38</v>
      </c>
      <c r="E25" s="6" t="s">
        <v>224</v>
      </c>
      <c r="F25" s="20" t="s">
        <v>270</v>
      </c>
      <c r="G25" s="3">
        <v>5614</v>
      </c>
      <c r="H25" s="9" t="s">
        <v>47</v>
      </c>
    </row>
    <row r="26" spans="1:8" ht="22.5" customHeight="1" x14ac:dyDescent="0.4">
      <c r="A26" s="20" t="s">
        <v>341</v>
      </c>
      <c r="B26" s="20" t="s">
        <v>126</v>
      </c>
      <c r="C26" s="9" t="s">
        <v>28</v>
      </c>
      <c r="D26" s="20" t="s">
        <v>38</v>
      </c>
      <c r="E26" s="6" t="s">
        <v>225</v>
      </c>
      <c r="F26" s="20" t="s">
        <v>271</v>
      </c>
      <c r="G26" s="3">
        <v>8243</v>
      </c>
      <c r="H26" s="9" t="s">
        <v>60</v>
      </c>
    </row>
    <row r="27" spans="1:8" ht="22.5" customHeight="1" x14ac:dyDescent="0.4">
      <c r="A27" s="20" t="s">
        <v>342</v>
      </c>
      <c r="B27" s="20" t="s">
        <v>127</v>
      </c>
      <c r="C27" s="9" t="s">
        <v>29</v>
      </c>
      <c r="D27" s="20" t="s">
        <v>38</v>
      </c>
      <c r="E27" s="6" t="s">
        <v>226</v>
      </c>
      <c r="F27" s="20" t="s">
        <v>272</v>
      </c>
      <c r="G27" s="3">
        <v>6824</v>
      </c>
      <c r="H27" s="9" t="s">
        <v>48</v>
      </c>
    </row>
    <row r="28" spans="1:8" ht="22.5" customHeight="1" x14ac:dyDescent="0.4">
      <c r="A28" s="20" t="s">
        <v>343</v>
      </c>
      <c r="B28" s="20" t="s">
        <v>128</v>
      </c>
      <c r="C28" s="9" t="s">
        <v>30</v>
      </c>
      <c r="D28" s="20" t="s">
        <v>38</v>
      </c>
      <c r="E28" s="6" t="s">
        <v>227</v>
      </c>
      <c r="F28" s="20" t="s">
        <v>273</v>
      </c>
      <c r="G28" s="3">
        <v>5203</v>
      </c>
      <c r="H28" s="9" t="s">
        <v>61</v>
      </c>
    </row>
    <row r="29" spans="1:8" ht="22.5" customHeight="1" x14ac:dyDescent="0.4">
      <c r="A29" s="20" t="s">
        <v>344</v>
      </c>
      <c r="B29" s="20" t="s">
        <v>129</v>
      </c>
      <c r="C29" s="9" t="s">
        <v>31</v>
      </c>
      <c r="D29" s="20" t="s">
        <v>38</v>
      </c>
      <c r="E29" s="6" t="s">
        <v>228</v>
      </c>
      <c r="F29" s="20" t="s">
        <v>274</v>
      </c>
      <c r="G29" s="3">
        <v>1133</v>
      </c>
      <c r="H29" s="9" t="s">
        <v>62</v>
      </c>
    </row>
    <row r="30" spans="1:8" ht="22.5" customHeight="1" x14ac:dyDescent="0.4">
      <c r="A30" s="20" t="s">
        <v>345</v>
      </c>
      <c r="B30" s="20" t="s">
        <v>124</v>
      </c>
      <c r="C30" s="9" t="s">
        <v>32</v>
      </c>
      <c r="D30" s="20" t="s">
        <v>38</v>
      </c>
      <c r="E30" s="6" t="s">
        <v>229</v>
      </c>
      <c r="F30" s="20" t="s">
        <v>275</v>
      </c>
      <c r="G30" s="3">
        <v>5499</v>
      </c>
      <c r="H30" s="9" t="s">
        <v>63</v>
      </c>
    </row>
    <row r="31" spans="1:8" ht="22.5" customHeight="1" x14ac:dyDescent="0.4">
      <c r="A31" s="20" t="s">
        <v>346</v>
      </c>
      <c r="B31" s="8" t="s">
        <v>112</v>
      </c>
      <c r="C31" s="9" t="s">
        <v>33</v>
      </c>
      <c r="D31" s="20" t="s">
        <v>251</v>
      </c>
      <c r="E31" s="6" t="s">
        <v>230</v>
      </c>
      <c r="F31" s="20" t="s">
        <v>276</v>
      </c>
      <c r="G31" s="3">
        <v>8094</v>
      </c>
      <c r="H31" s="9" t="s">
        <v>89</v>
      </c>
    </row>
    <row r="32" spans="1:8" ht="22.5" customHeight="1" x14ac:dyDescent="0.4">
      <c r="A32" s="20" t="s">
        <v>347</v>
      </c>
      <c r="B32" s="8" t="s">
        <v>124</v>
      </c>
      <c r="C32" s="9" t="s">
        <v>34</v>
      </c>
      <c r="D32" s="20" t="s">
        <v>251</v>
      </c>
      <c r="E32" s="6" t="s">
        <v>231</v>
      </c>
      <c r="F32" s="20" t="s">
        <v>277</v>
      </c>
      <c r="G32" s="3">
        <v>2369</v>
      </c>
      <c r="H32" s="9" t="s">
        <v>91</v>
      </c>
    </row>
    <row r="33" spans="1:8" ht="22.5" customHeight="1" x14ac:dyDescent="0.4">
      <c r="A33" s="20" t="s">
        <v>348</v>
      </c>
      <c r="B33" s="8" t="s">
        <v>112</v>
      </c>
      <c r="C33" s="9" t="s">
        <v>35</v>
      </c>
      <c r="D33" s="20" t="s">
        <v>251</v>
      </c>
      <c r="E33" s="6" t="s">
        <v>232</v>
      </c>
      <c r="F33" s="20" t="s">
        <v>278</v>
      </c>
      <c r="G33" s="3">
        <v>2009</v>
      </c>
      <c r="H33" s="9" t="s">
        <v>64</v>
      </c>
    </row>
    <row r="34" spans="1:8" ht="22.5" customHeight="1" x14ac:dyDescent="0.4">
      <c r="A34" s="20" t="s">
        <v>349</v>
      </c>
      <c r="B34" s="8" t="s">
        <v>130</v>
      </c>
      <c r="C34" s="9" t="s">
        <v>66</v>
      </c>
      <c r="D34" s="20" t="s">
        <v>251</v>
      </c>
      <c r="E34" s="6" t="s">
        <v>233</v>
      </c>
      <c r="F34" s="20" t="s">
        <v>279</v>
      </c>
      <c r="G34" s="3">
        <v>1956</v>
      </c>
      <c r="H34" s="9" t="s">
        <v>67</v>
      </c>
    </row>
    <row r="35" spans="1:8" ht="22.5" customHeight="1" x14ac:dyDescent="0.4">
      <c r="A35" s="20" t="s">
        <v>350</v>
      </c>
      <c r="B35" s="8" t="s">
        <v>112</v>
      </c>
      <c r="C35" s="9" t="s">
        <v>68</v>
      </c>
      <c r="D35" s="20" t="s">
        <v>251</v>
      </c>
      <c r="E35" s="6" t="s">
        <v>239</v>
      </c>
      <c r="F35" s="20" t="s">
        <v>280</v>
      </c>
      <c r="G35" s="3">
        <v>12842</v>
      </c>
      <c r="H35" s="9" t="s">
        <v>90</v>
      </c>
    </row>
    <row r="36" spans="1:8" ht="22.5" customHeight="1" x14ac:dyDescent="0.4">
      <c r="A36" s="20" t="s">
        <v>351</v>
      </c>
      <c r="B36" s="8" t="s">
        <v>112</v>
      </c>
      <c r="C36" s="9" t="s">
        <v>69</v>
      </c>
      <c r="D36" s="20" t="s">
        <v>251</v>
      </c>
      <c r="E36" s="6" t="s">
        <v>240</v>
      </c>
      <c r="F36" s="20" t="s">
        <v>281</v>
      </c>
      <c r="G36" s="3">
        <v>10218</v>
      </c>
      <c r="H36" s="9" t="s">
        <v>71</v>
      </c>
    </row>
    <row r="37" spans="1:8" ht="22.5" customHeight="1" x14ac:dyDescent="0.4">
      <c r="A37" s="20" t="s">
        <v>352</v>
      </c>
      <c r="B37" s="8" t="s">
        <v>112</v>
      </c>
      <c r="C37" s="9" t="s">
        <v>70</v>
      </c>
      <c r="D37" s="20" t="s">
        <v>251</v>
      </c>
      <c r="E37" s="6" t="s">
        <v>241</v>
      </c>
      <c r="F37" s="20" t="s">
        <v>282</v>
      </c>
      <c r="G37" s="3">
        <v>9724</v>
      </c>
      <c r="H37" s="9" t="s">
        <v>72</v>
      </c>
    </row>
    <row r="38" spans="1:8" ht="22.5" customHeight="1" x14ac:dyDescent="0.4">
      <c r="A38" s="20" t="s">
        <v>353</v>
      </c>
      <c r="B38" s="8" t="s">
        <v>131</v>
      </c>
      <c r="C38" s="9" t="s">
        <v>69</v>
      </c>
      <c r="D38" s="20" t="s">
        <v>251</v>
      </c>
      <c r="E38" s="6" t="s">
        <v>242</v>
      </c>
      <c r="F38" s="20" t="s">
        <v>283</v>
      </c>
      <c r="G38" s="3">
        <v>6118</v>
      </c>
      <c r="H38" s="9" t="s">
        <v>74</v>
      </c>
    </row>
    <row r="39" spans="1:8" ht="22.5" customHeight="1" x14ac:dyDescent="0.4">
      <c r="A39" s="20" t="s">
        <v>354</v>
      </c>
      <c r="B39" s="8" t="s">
        <v>123</v>
      </c>
      <c r="C39" s="9" t="s">
        <v>73</v>
      </c>
      <c r="D39" s="20" t="s">
        <v>251</v>
      </c>
      <c r="E39" s="6" t="s">
        <v>243</v>
      </c>
      <c r="F39" s="20" t="s">
        <v>284</v>
      </c>
      <c r="G39" s="3">
        <v>6077</v>
      </c>
      <c r="H39" s="9" t="s">
        <v>93</v>
      </c>
    </row>
    <row r="40" spans="1:8" ht="22.5" customHeight="1" x14ac:dyDescent="0.4">
      <c r="A40" s="20" t="s">
        <v>355</v>
      </c>
      <c r="B40" s="8" t="s">
        <v>125</v>
      </c>
      <c r="C40" s="10" t="s">
        <v>85</v>
      </c>
      <c r="D40" s="20" t="s">
        <v>251</v>
      </c>
      <c r="E40" s="6" t="s">
        <v>244</v>
      </c>
      <c r="F40" s="20" t="s">
        <v>285</v>
      </c>
      <c r="G40" s="3">
        <v>1246</v>
      </c>
      <c r="H40" s="10" t="s">
        <v>94</v>
      </c>
    </row>
    <row r="41" spans="1:8" ht="22.5" customHeight="1" x14ac:dyDescent="0.4">
      <c r="A41" s="20" t="s">
        <v>356</v>
      </c>
      <c r="B41" s="20" t="s">
        <v>132</v>
      </c>
      <c r="C41" s="20" t="s">
        <v>86</v>
      </c>
      <c r="D41" s="20" t="s">
        <v>87</v>
      </c>
      <c r="E41" s="6" t="s">
        <v>234</v>
      </c>
      <c r="F41" s="20" t="s">
        <v>286</v>
      </c>
      <c r="G41" s="3">
        <v>499</v>
      </c>
      <c r="H41" s="20" t="s">
        <v>95</v>
      </c>
    </row>
    <row r="42" spans="1:8" ht="22.5" customHeight="1" x14ac:dyDescent="0.4">
      <c r="A42" s="20" t="s">
        <v>357</v>
      </c>
      <c r="B42" s="20" t="s">
        <v>128</v>
      </c>
      <c r="C42" s="20" t="s">
        <v>15</v>
      </c>
      <c r="D42" s="20" t="s">
        <v>87</v>
      </c>
      <c r="E42" s="6" t="s">
        <v>235</v>
      </c>
      <c r="F42" s="20" t="s">
        <v>287</v>
      </c>
      <c r="G42" s="3">
        <v>2375</v>
      </c>
      <c r="H42" s="20" t="s">
        <v>96</v>
      </c>
    </row>
    <row r="43" spans="1:8" ht="22.5" customHeight="1" x14ac:dyDescent="0.4">
      <c r="A43" s="20" t="s">
        <v>358</v>
      </c>
      <c r="B43" s="20" t="s">
        <v>121</v>
      </c>
      <c r="C43" s="20" t="s">
        <v>92</v>
      </c>
      <c r="D43" s="20" t="s">
        <v>87</v>
      </c>
      <c r="E43" s="6" t="s">
        <v>236</v>
      </c>
      <c r="F43" s="20" t="s">
        <v>236</v>
      </c>
      <c r="G43" s="3">
        <v>1577</v>
      </c>
      <c r="H43" s="20" t="s">
        <v>97</v>
      </c>
    </row>
    <row r="44" spans="1:8" ht="22.5" customHeight="1" x14ac:dyDescent="0.4">
      <c r="A44" s="20" t="s">
        <v>359</v>
      </c>
      <c r="B44" s="20" t="s">
        <v>133</v>
      </c>
      <c r="C44" s="20" t="s">
        <v>98</v>
      </c>
      <c r="D44" s="20" t="s">
        <v>87</v>
      </c>
      <c r="E44" s="6" t="s">
        <v>237</v>
      </c>
      <c r="F44" s="20" t="s">
        <v>237</v>
      </c>
      <c r="G44" s="3">
        <v>25900</v>
      </c>
      <c r="H44" s="20" t="s">
        <v>101</v>
      </c>
    </row>
    <row r="45" spans="1:8" ht="22.5" customHeight="1" x14ac:dyDescent="0.4">
      <c r="A45" s="20" t="s">
        <v>360</v>
      </c>
      <c r="B45" s="20" t="s">
        <v>132</v>
      </c>
      <c r="C45" s="20" t="s">
        <v>99</v>
      </c>
      <c r="D45" s="20" t="s">
        <v>87</v>
      </c>
      <c r="E45" s="6" t="s">
        <v>238</v>
      </c>
      <c r="F45" s="20" t="s">
        <v>288</v>
      </c>
      <c r="G45" s="3">
        <v>193</v>
      </c>
      <c r="H45" s="20" t="s">
        <v>102</v>
      </c>
    </row>
    <row r="46" spans="1:8" ht="22.5" customHeight="1" x14ac:dyDescent="0.4">
      <c r="A46" s="20" t="s">
        <v>361</v>
      </c>
      <c r="B46" s="20" t="s">
        <v>134</v>
      </c>
      <c r="C46" s="20" t="s">
        <v>100</v>
      </c>
      <c r="D46" s="20" t="s">
        <v>87</v>
      </c>
      <c r="E46" s="6" t="s">
        <v>245</v>
      </c>
      <c r="F46" s="20" t="s">
        <v>289</v>
      </c>
      <c r="G46" s="3">
        <v>1117</v>
      </c>
      <c r="H46" s="20" t="s">
        <v>103</v>
      </c>
    </row>
    <row r="47" spans="1:8" ht="22.5" customHeight="1" x14ac:dyDescent="0.4">
      <c r="A47" s="20" t="s">
        <v>362</v>
      </c>
      <c r="B47" s="20" t="s">
        <v>135</v>
      </c>
      <c r="C47" s="20" t="s">
        <v>98</v>
      </c>
      <c r="D47" s="20" t="s">
        <v>87</v>
      </c>
      <c r="E47" s="6" t="s">
        <v>246</v>
      </c>
      <c r="F47" s="20" t="s">
        <v>290</v>
      </c>
      <c r="G47" s="3">
        <v>1927</v>
      </c>
      <c r="H47" s="20" t="s">
        <v>104</v>
      </c>
    </row>
    <row r="48" spans="1:8" ht="22.5" customHeight="1" x14ac:dyDescent="0.4">
      <c r="A48" s="20" t="s">
        <v>363</v>
      </c>
      <c r="B48" s="20" t="s">
        <v>112</v>
      </c>
      <c r="C48" s="20" t="s">
        <v>105</v>
      </c>
      <c r="D48" s="20" t="s">
        <v>87</v>
      </c>
      <c r="E48" s="6" t="s">
        <v>247</v>
      </c>
      <c r="F48" s="20" t="s">
        <v>291</v>
      </c>
      <c r="G48" s="3">
        <v>4198</v>
      </c>
      <c r="H48" s="20" t="s">
        <v>106</v>
      </c>
    </row>
    <row r="49" spans="1:8" ht="22.5" customHeight="1" x14ac:dyDescent="0.4">
      <c r="A49" s="20" t="s">
        <v>364</v>
      </c>
      <c r="B49" s="20" t="s">
        <v>120</v>
      </c>
      <c r="C49" s="20" t="s">
        <v>107</v>
      </c>
      <c r="D49" s="20" t="s">
        <v>87</v>
      </c>
      <c r="E49" s="6" t="s">
        <v>248</v>
      </c>
      <c r="F49" s="20" t="s">
        <v>248</v>
      </c>
      <c r="G49" s="3">
        <v>4277</v>
      </c>
      <c r="H49" s="21" t="s">
        <v>108</v>
      </c>
    </row>
    <row r="50" spans="1:8" ht="22.5" customHeight="1" x14ac:dyDescent="0.4">
      <c r="A50" s="20" t="s">
        <v>365</v>
      </c>
      <c r="B50" s="20" t="s">
        <v>120</v>
      </c>
      <c r="C50" s="20" t="s">
        <v>109</v>
      </c>
      <c r="D50" s="20" t="s">
        <v>87</v>
      </c>
      <c r="E50" s="6" t="s">
        <v>249</v>
      </c>
      <c r="F50" s="20" t="s">
        <v>292</v>
      </c>
      <c r="G50" s="3">
        <v>2733</v>
      </c>
      <c r="H50" s="21" t="s">
        <v>110</v>
      </c>
    </row>
    <row r="51" spans="1:8" ht="22.5" customHeight="1" x14ac:dyDescent="0.4">
      <c r="A51" s="20" t="s">
        <v>366</v>
      </c>
      <c r="B51" s="20" t="s">
        <v>112</v>
      </c>
      <c r="C51" s="20" t="s">
        <v>152</v>
      </c>
      <c r="D51" s="20" t="s">
        <v>87</v>
      </c>
      <c r="E51" s="6" t="s">
        <v>250</v>
      </c>
      <c r="F51" s="20" t="s">
        <v>250</v>
      </c>
      <c r="G51" s="3">
        <v>4950</v>
      </c>
      <c r="H51" s="21" t="s">
        <v>111</v>
      </c>
    </row>
    <row r="52" spans="1:8" ht="22.5" customHeight="1" x14ac:dyDescent="0.4">
      <c r="A52" s="20" t="s">
        <v>367</v>
      </c>
      <c r="B52" s="20" t="s">
        <v>155</v>
      </c>
      <c r="C52" s="20" t="s">
        <v>153</v>
      </c>
      <c r="D52" s="20" t="s">
        <v>252</v>
      </c>
      <c r="E52" s="6" t="s">
        <v>253</v>
      </c>
      <c r="F52" s="20" t="s">
        <v>293</v>
      </c>
      <c r="G52" s="3">
        <v>5232</v>
      </c>
      <c r="H52" s="21" t="s">
        <v>157</v>
      </c>
    </row>
    <row r="53" spans="1:8" ht="22.5" customHeight="1" x14ac:dyDescent="0.4">
      <c r="A53" s="20" t="s">
        <v>368</v>
      </c>
      <c r="B53" s="20" t="s">
        <v>156</v>
      </c>
      <c r="C53" s="20" t="s">
        <v>154</v>
      </c>
      <c r="D53" s="20" t="s">
        <v>252</v>
      </c>
      <c r="E53" s="6" t="s">
        <v>254</v>
      </c>
      <c r="F53" s="20" t="s">
        <v>294</v>
      </c>
      <c r="G53" s="3">
        <v>4134</v>
      </c>
      <c r="H53" s="21" t="s">
        <v>158</v>
      </c>
    </row>
    <row r="54" spans="1:8" ht="22.5" customHeight="1" x14ac:dyDescent="0.4">
      <c r="A54" s="20" t="s">
        <v>369</v>
      </c>
      <c r="B54" s="20" t="s">
        <v>156</v>
      </c>
      <c r="C54" s="20" t="s">
        <v>153</v>
      </c>
      <c r="D54" s="20" t="s">
        <v>252</v>
      </c>
      <c r="E54" s="6" t="s">
        <v>255</v>
      </c>
      <c r="F54" s="20" t="s">
        <v>295</v>
      </c>
      <c r="G54" s="3">
        <v>5983</v>
      </c>
      <c r="H54" s="21" t="s">
        <v>159</v>
      </c>
    </row>
    <row r="55" spans="1:8" ht="22.5" customHeight="1" x14ac:dyDescent="0.4">
      <c r="A55" s="20" t="s">
        <v>370</v>
      </c>
      <c r="B55" s="20" t="s">
        <v>162</v>
      </c>
      <c r="C55" s="20" t="s">
        <v>163</v>
      </c>
      <c r="D55" s="20" t="s">
        <v>252</v>
      </c>
      <c r="E55" s="6" t="s">
        <v>256</v>
      </c>
      <c r="F55" s="20" t="s">
        <v>296</v>
      </c>
      <c r="G55" s="3">
        <v>2465</v>
      </c>
      <c r="H55" s="21" t="s">
        <v>164</v>
      </c>
    </row>
    <row r="56" spans="1:8" ht="22.5" customHeight="1" x14ac:dyDescent="0.4">
      <c r="A56" s="29" t="s">
        <v>371</v>
      </c>
      <c r="B56" s="20" t="s">
        <v>112</v>
      </c>
      <c r="C56" s="20" t="s">
        <v>14</v>
      </c>
      <c r="D56" s="20" t="s">
        <v>252</v>
      </c>
      <c r="E56" s="6" t="s">
        <v>257</v>
      </c>
      <c r="F56" s="6" t="s">
        <v>257</v>
      </c>
      <c r="G56" s="3">
        <v>8889</v>
      </c>
      <c r="H56" s="21" t="s">
        <v>166</v>
      </c>
    </row>
    <row r="57" spans="1:8" ht="22.5" customHeight="1" x14ac:dyDescent="0.4">
      <c r="A57" s="20" t="s">
        <v>372</v>
      </c>
      <c r="B57" s="20" t="s">
        <v>112</v>
      </c>
      <c r="C57" s="20" t="s">
        <v>165</v>
      </c>
      <c r="D57" s="20" t="s">
        <v>252</v>
      </c>
      <c r="E57" s="6" t="s">
        <v>258</v>
      </c>
      <c r="F57" s="6" t="s">
        <v>297</v>
      </c>
      <c r="G57" s="3">
        <v>847</v>
      </c>
      <c r="H57" s="21" t="s">
        <v>164</v>
      </c>
    </row>
    <row r="58" spans="1:8" ht="22.5" customHeight="1" x14ac:dyDescent="0.4">
      <c r="A58" s="20" t="s">
        <v>373</v>
      </c>
      <c r="B58" s="20" t="s">
        <v>167</v>
      </c>
      <c r="C58" s="20" t="s">
        <v>168</v>
      </c>
      <c r="D58" s="20" t="s">
        <v>252</v>
      </c>
      <c r="E58" s="6" t="s">
        <v>259</v>
      </c>
      <c r="F58" s="6" t="s">
        <v>298</v>
      </c>
      <c r="G58" s="3">
        <v>1423</v>
      </c>
      <c r="H58" s="21" t="s">
        <v>169</v>
      </c>
    </row>
    <row r="59" spans="1:8" ht="22.5" customHeight="1" x14ac:dyDescent="0.4">
      <c r="A59" s="20" t="s">
        <v>374</v>
      </c>
      <c r="B59" s="20" t="s">
        <v>172</v>
      </c>
      <c r="C59" s="20" t="s">
        <v>176</v>
      </c>
      <c r="D59" s="20" t="s">
        <v>171</v>
      </c>
      <c r="E59" s="6" t="s">
        <v>260</v>
      </c>
      <c r="F59" s="6" t="s">
        <v>311</v>
      </c>
      <c r="G59" s="3">
        <v>20150</v>
      </c>
      <c r="H59" s="21" t="s">
        <v>180</v>
      </c>
    </row>
    <row r="60" spans="1:8" ht="22.5" customHeight="1" x14ac:dyDescent="0.4">
      <c r="A60" s="20" t="s">
        <v>375</v>
      </c>
      <c r="B60" s="20" t="s">
        <v>173</v>
      </c>
      <c r="C60" s="20" t="s">
        <v>177</v>
      </c>
      <c r="D60" s="20" t="s">
        <v>171</v>
      </c>
      <c r="E60" s="6" t="s">
        <v>261</v>
      </c>
      <c r="F60" s="6" t="s">
        <v>261</v>
      </c>
      <c r="G60" s="3">
        <v>2459</v>
      </c>
      <c r="H60" s="21" t="s">
        <v>392</v>
      </c>
    </row>
    <row r="61" spans="1:8" ht="22.5" customHeight="1" x14ac:dyDescent="0.4">
      <c r="A61" s="20" t="s">
        <v>376</v>
      </c>
      <c r="B61" s="20" t="s">
        <v>174</v>
      </c>
      <c r="C61" s="20" t="s">
        <v>178</v>
      </c>
      <c r="D61" s="20" t="s">
        <v>171</v>
      </c>
      <c r="E61" s="6" t="s">
        <v>262</v>
      </c>
      <c r="F61" s="6" t="s">
        <v>262</v>
      </c>
      <c r="G61" s="3">
        <v>7945</v>
      </c>
      <c r="H61" s="21" t="s">
        <v>181</v>
      </c>
    </row>
    <row r="62" spans="1:8" ht="22.5" customHeight="1" x14ac:dyDescent="0.4">
      <c r="A62" s="20" t="s">
        <v>377</v>
      </c>
      <c r="B62" s="20" t="s">
        <v>175</v>
      </c>
      <c r="C62" s="20" t="s">
        <v>179</v>
      </c>
      <c r="D62" s="20" t="s">
        <v>171</v>
      </c>
      <c r="E62" s="6" t="s">
        <v>263</v>
      </c>
      <c r="F62" s="6" t="s">
        <v>312</v>
      </c>
      <c r="G62" s="3">
        <v>21114</v>
      </c>
      <c r="H62" s="21" t="s">
        <v>182</v>
      </c>
    </row>
    <row r="63" spans="1:8" ht="22.5" customHeight="1" x14ac:dyDescent="0.4">
      <c r="A63" s="20" t="s">
        <v>378</v>
      </c>
      <c r="B63" s="20" t="s">
        <v>303</v>
      </c>
      <c r="C63" s="20" t="s">
        <v>305</v>
      </c>
      <c r="D63" s="20" t="s">
        <v>171</v>
      </c>
      <c r="E63" s="6" t="s">
        <v>308</v>
      </c>
      <c r="F63" s="6" t="s">
        <v>308</v>
      </c>
      <c r="G63" s="3">
        <v>18586</v>
      </c>
      <c r="H63" s="21" t="s">
        <v>313</v>
      </c>
    </row>
    <row r="64" spans="1:8" ht="22.5" customHeight="1" x14ac:dyDescent="0.4">
      <c r="A64" s="20" t="s">
        <v>379</v>
      </c>
      <c r="B64" s="20" t="s">
        <v>167</v>
      </c>
      <c r="C64" s="20" t="s">
        <v>306</v>
      </c>
      <c r="D64" s="20" t="s">
        <v>171</v>
      </c>
      <c r="E64" s="6" t="s">
        <v>309</v>
      </c>
      <c r="F64" s="6" t="s">
        <v>309</v>
      </c>
      <c r="G64" s="3">
        <v>4050</v>
      </c>
      <c r="H64" s="21" t="s">
        <v>391</v>
      </c>
    </row>
    <row r="65" spans="1:8" ht="22.5" customHeight="1" x14ac:dyDescent="0.4">
      <c r="A65" s="20" t="s">
        <v>380</v>
      </c>
      <c r="B65" s="20" t="s">
        <v>304</v>
      </c>
      <c r="C65" s="20" t="s">
        <v>307</v>
      </c>
      <c r="D65" s="20" t="s">
        <v>171</v>
      </c>
      <c r="E65" s="6" t="s">
        <v>309</v>
      </c>
      <c r="F65" s="6" t="s">
        <v>310</v>
      </c>
      <c r="G65" s="3">
        <v>2562</v>
      </c>
      <c r="H65" s="21" t="s">
        <v>314</v>
      </c>
    </row>
    <row r="66" spans="1:8" ht="22.5" customHeight="1" x14ac:dyDescent="0.4">
      <c r="A66" s="20" t="s">
        <v>381</v>
      </c>
      <c r="B66" s="20" t="s">
        <v>383</v>
      </c>
      <c r="C66" s="20" t="s">
        <v>384</v>
      </c>
      <c r="D66" s="20" t="s">
        <v>171</v>
      </c>
      <c r="E66" s="6" t="s">
        <v>386</v>
      </c>
      <c r="F66" s="6" t="s">
        <v>387</v>
      </c>
      <c r="G66" s="3">
        <v>8520</v>
      </c>
      <c r="H66" s="21" t="s">
        <v>390</v>
      </c>
    </row>
    <row r="67" spans="1:8" ht="22.5" customHeight="1" x14ac:dyDescent="0.4">
      <c r="A67" s="20" t="s">
        <v>382</v>
      </c>
      <c r="B67" s="20" t="s">
        <v>112</v>
      </c>
      <c r="C67" s="20" t="s">
        <v>385</v>
      </c>
      <c r="D67" s="20" t="s">
        <v>171</v>
      </c>
      <c r="E67" s="6" t="s">
        <v>387</v>
      </c>
      <c r="F67" s="6" t="s">
        <v>388</v>
      </c>
      <c r="G67" s="3">
        <v>1100</v>
      </c>
      <c r="H67" s="21" t="s">
        <v>389</v>
      </c>
    </row>
    <row r="68" spans="1:8" ht="22.5" customHeight="1" x14ac:dyDescent="0.4">
      <c r="A68" s="20" t="s">
        <v>396</v>
      </c>
      <c r="B68" s="20" t="s">
        <v>175</v>
      </c>
      <c r="C68" s="20" t="s">
        <v>393</v>
      </c>
      <c r="D68" s="20" t="s">
        <v>171</v>
      </c>
      <c r="E68" s="6" t="s">
        <v>394</v>
      </c>
      <c r="F68" s="6" t="s">
        <v>394</v>
      </c>
      <c r="G68" s="3">
        <v>1280</v>
      </c>
      <c r="H68" s="21" t="s">
        <v>395</v>
      </c>
    </row>
    <row r="69" spans="1:8" ht="22.5" customHeight="1" x14ac:dyDescent="0.4">
      <c r="A69" s="37" t="s">
        <v>4</v>
      </c>
      <c r="B69" s="38"/>
      <c r="C69" s="38"/>
      <c r="D69" s="38"/>
      <c r="E69" s="38"/>
      <c r="F69" s="39"/>
      <c r="G69" s="12">
        <f>SUM(G3:G68)</f>
        <v>298041</v>
      </c>
      <c r="H69" s="13"/>
    </row>
  </sheetData>
  <mergeCells count="2">
    <mergeCell ref="A1:H1"/>
    <mergeCell ref="A69:F69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13"/>
  <sheetViews>
    <sheetView topLeftCell="A4" workbookViewId="0">
      <selection sqref="A1:J1"/>
    </sheetView>
  </sheetViews>
  <sheetFormatPr defaultRowHeight="17.399999999999999" x14ac:dyDescent="0.4"/>
  <cols>
    <col min="1" max="10" width="15" customWidth="1"/>
  </cols>
  <sheetData>
    <row r="1" spans="1:11" ht="27.6" x14ac:dyDescent="0.4">
      <c r="A1" s="36" t="s">
        <v>65</v>
      </c>
      <c r="B1" s="36"/>
      <c r="C1" s="36"/>
      <c r="D1" s="36"/>
      <c r="E1" s="36"/>
      <c r="F1" s="36"/>
      <c r="G1" s="36"/>
      <c r="H1" s="36"/>
      <c r="I1" s="36"/>
      <c r="J1" s="36"/>
      <c r="K1" s="1"/>
    </row>
    <row r="2" spans="1:11" ht="27.6" x14ac:dyDescent="0.4">
      <c r="A2" s="22"/>
      <c r="B2" s="22"/>
      <c r="C2" s="22"/>
      <c r="D2" s="22"/>
      <c r="E2" s="22"/>
      <c r="F2" s="28"/>
      <c r="G2" s="35"/>
      <c r="H2" s="30"/>
      <c r="I2" s="35"/>
      <c r="J2" s="2" t="e">
        <f>사육돼지!#REF!</f>
        <v>#REF!</v>
      </c>
      <c r="K2" s="1"/>
    </row>
    <row r="3" spans="1:11" ht="26.25" customHeight="1" thickBot="1" x14ac:dyDescent="0.45">
      <c r="A3" s="24" t="s">
        <v>136</v>
      </c>
      <c r="B3" s="24" t="s">
        <v>145</v>
      </c>
      <c r="C3" s="24" t="s">
        <v>147</v>
      </c>
      <c r="D3" s="24" t="s">
        <v>146</v>
      </c>
      <c r="E3" s="24" t="s">
        <v>148</v>
      </c>
      <c r="F3" s="24" t="s">
        <v>170</v>
      </c>
      <c r="G3" s="24" t="s">
        <v>315</v>
      </c>
      <c r="H3" s="24" t="s">
        <v>185</v>
      </c>
      <c r="I3" s="24" t="s">
        <v>316</v>
      </c>
      <c r="J3" s="24" t="s">
        <v>137</v>
      </c>
      <c r="K3" s="1"/>
    </row>
    <row r="4" spans="1:11" ht="26.25" customHeight="1" thickTop="1" x14ac:dyDescent="0.4">
      <c r="A4" s="25" t="s">
        <v>138</v>
      </c>
      <c r="B4" s="25">
        <v>9</v>
      </c>
      <c r="C4" s="25">
        <v>5</v>
      </c>
      <c r="D4" s="25" t="s">
        <v>149</v>
      </c>
      <c r="E4" s="25" t="s">
        <v>149</v>
      </c>
      <c r="F4" s="25" t="s">
        <v>317</v>
      </c>
      <c r="G4" s="25" t="s">
        <v>149</v>
      </c>
      <c r="H4" s="25" t="s">
        <v>149</v>
      </c>
      <c r="I4" s="25" t="s">
        <v>149</v>
      </c>
      <c r="J4" s="32">
        <f t="shared" ref="J4:J10" si="0">SUM(B4:H4)</f>
        <v>14</v>
      </c>
      <c r="K4" s="1"/>
    </row>
    <row r="5" spans="1:11" ht="26.25" customHeight="1" x14ac:dyDescent="0.4">
      <c r="A5" s="26" t="s">
        <v>139</v>
      </c>
      <c r="B5" s="26" t="s">
        <v>149</v>
      </c>
      <c r="C5" s="26" t="s">
        <v>150</v>
      </c>
      <c r="D5" s="26">
        <v>2</v>
      </c>
      <c r="E5" s="26" t="s">
        <v>149</v>
      </c>
      <c r="F5" s="26" t="s">
        <v>317</v>
      </c>
      <c r="G5" s="26" t="s">
        <v>149</v>
      </c>
      <c r="H5" s="26" t="s">
        <v>149</v>
      </c>
      <c r="I5" s="26" t="s">
        <v>149</v>
      </c>
      <c r="J5" s="26">
        <f t="shared" si="0"/>
        <v>2</v>
      </c>
      <c r="K5" s="1"/>
    </row>
    <row r="6" spans="1:11" ht="26.25" customHeight="1" x14ac:dyDescent="0.4">
      <c r="A6" s="26" t="s">
        <v>140</v>
      </c>
      <c r="B6" s="26" t="s">
        <v>149</v>
      </c>
      <c r="C6" s="26" t="s">
        <v>149</v>
      </c>
      <c r="D6" s="26">
        <v>5</v>
      </c>
      <c r="E6" s="26" t="s">
        <v>150</v>
      </c>
      <c r="F6" s="26" t="s">
        <v>317</v>
      </c>
      <c r="G6" s="26" t="s">
        <v>149</v>
      </c>
      <c r="H6" s="26" t="s">
        <v>150</v>
      </c>
      <c r="I6" s="26" t="s">
        <v>149</v>
      </c>
      <c r="J6" s="26">
        <f t="shared" si="0"/>
        <v>5</v>
      </c>
      <c r="K6" s="1"/>
    </row>
    <row r="7" spans="1:11" ht="26.25" customHeight="1" x14ac:dyDescent="0.4">
      <c r="A7" s="26" t="s">
        <v>141</v>
      </c>
      <c r="B7" s="26">
        <v>2</v>
      </c>
      <c r="C7" s="26" t="s">
        <v>149</v>
      </c>
      <c r="D7" s="26">
        <v>5</v>
      </c>
      <c r="E7" s="26" t="s">
        <v>151</v>
      </c>
      <c r="F7" s="26" t="s">
        <v>317</v>
      </c>
      <c r="G7" s="26" t="s">
        <v>149</v>
      </c>
      <c r="H7" s="26" t="s">
        <v>151</v>
      </c>
      <c r="I7" s="26" t="s">
        <v>149</v>
      </c>
      <c r="J7" s="26">
        <f t="shared" si="0"/>
        <v>7</v>
      </c>
      <c r="K7" s="1"/>
    </row>
    <row r="8" spans="1:11" ht="26.25" customHeight="1" x14ac:dyDescent="0.4">
      <c r="A8" s="26" t="s">
        <v>142</v>
      </c>
      <c r="B8" s="26">
        <v>6</v>
      </c>
      <c r="C8" s="26" t="s">
        <v>149</v>
      </c>
      <c r="D8" s="26">
        <v>4</v>
      </c>
      <c r="E8" s="26" t="s">
        <v>151</v>
      </c>
      <c r="F8" s="26" t="s">
        <v>317</v>
      </c>
      <c r="G8" s="26" t="s">
        <v>149</v>
      </c>
      <c r="H8" s="26" t="s">
        <v>151</v>
      </c>
      <c r="I8" s="26" t="s">
        <v>149</v>
      </c>
      <c r="J8" s="26">
        <f t="shared" si="0"/>
        <v>10</v>
      </c>
      <c r="K8" s="1"/>
    </row>
    <row r="9" spans="1:11" ht="26.25" customHeight="1" x14ac:dyDescent="0.4">
      <c r="A9" s="25" t="s">
        <v>143</v>
      </c>
      <c r="B9" s="25">
        <v>3</v>
      </c>
      <c r="C9" s="25" t="s">
        <v>149</v>
      </c>
      <c r="D9" s="25">
        <v>3</v>
      </c>
      <c r="E9" s="25">
        <v>5</v>
      </c>
      <c r="F9" s="25" t="s">
        <v>317</v>
      </c>
      <c r="G9" s="26" t="s">
        <v>149</v>
      </c>
      <c r="H9" s="26" t="s">
        <v>186</v>
      </c>
      <c r="I9" s="26" t="s">
        <v>149</v>
      </c>
      <c r="J9" s="26">
        <f t="shared" si="0"/>
        <v>11</v>
      </c>
      <c r="K9" s="1"/>
    </row>
    <row r="10" spans="1:11" ht="26.25" customHeight="1" x14ac:dyDescent="0.4">
      <c r="A10" s="32" t="s">
        <v>160</v>
      </c>
      <c r="B10" s="32">
        <v>5</v>
      </c>
      <c r="C10" s="32" t="s">
        <v>149</v>
      </c>
      <c r="D10" s="32" t="s">
        <v>161</v>
      </c>
      <c r="E10" s="32" t="s">
        <v>161</v>
      </c>
      <c r="F10" s="32">
        <v>1</v>
      </c>
      <c r="G10" s="26" t="s">
        <v>149</v>
      </c>
      <c r="H10" s="26" t="s">
        <v>184</v>
      </c>
      <c r="I10" s="26" t="s">
        <v>149</v>
      </c>
      <c r="J10" s="26">
        <f t="shared" si="0"/>
        <v>6</v>
      </c>
      <c r="K10" s="1"/>
    </row>
    <row r="11" spans="1:11" ht="26.25" customHeight="1" x14ac:dyDescent="0.4">
      <c r="A11" s="27" t="s">
        <v>183</v>
      </c>
      <c r="B11" s="27">
        <v>2</v>
      </c>
      <c r="C11" s="27" t="s">
        <v>149</v>
      </c>
      <c r="D11" s="27">
        <v>1</v>
      </c>
      <c r="E11" s="27" t="s">
        <v>161</v>
      </c>
      <c r="F11" s="27">
        <v>1</v>
      </c>
      <c r="G11" s="27">
        <v>1</v>
      </c>
      <c r="H11" s="27">
        <v>1</v>
      </c>
      <c r="I11" s="27">
        <v>1</v>
      </c>
      <c r="J11" s="31">
        <f>SUM(B11:I11)</f>
        <v>7</v>
      </c>
      <c r="K11" s="1"/>
    </row>
    <row r="12" spans="1:11" ht="26.25" customHeight="1" x14ac:dyDescent="0.4">
      <c r="A12" s="3" t="s">
        <v>144</v>
      </c>
      <c r="B12" s="3">
        <f>SUM(B4:B11)</f>
        <v>27</v>
      </c>
      <c r="C12" s="3">
        <f t="shared" ref="C12:I12" si="1">SUM(C4:C11)</f>
        <v>5</v>
      </c>
      <c r="D12" s="3">
        <f t="shared" si="1"/>
        <v>20</v>
      </c>
      <c r="E12" s="3">
        <f t="shared" si="1"/>
        <v>5</v>
      </c>
      <c r="F12" s="3">
        <f t="shared" si="1"/>
        <v>2</v>
      </c>
      <c r="G12" s="3">
        <f t="shared" si="1"/>
        <v>1</v>
      </c>
      <c r="H12" s="3">
        <f t="shared" si="1"/>
        <v>1</v>
      </c>
      <c r="I12" s="3">
        <f t="shared" si="1"/>
        <v>1</v>
      </c>
      <c r="J12" s="5">
        <f>SUM(B12:I12)</f>
        <v>62</v>
      </c>
      <c r="K12" s="1"/>
    </row>
    <row r="13" spans="1:1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</sheetData>
  <mergeCells count="1">
    <mergeCell ref="A1:J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8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14"/>
  <sheetViews>
    <sheetView workbookViewId="0">
      <selection activeCell="E14" sqref="E14"/>
    </sheetView>
  </sheetViews>
  <sheetFormatPr defaultColWidth="9" defaultRowHeight="17.399999999999999" x14ac:dyDescent="0.4"/>
  <cols>
    <col min="1" max="1" width="2.3984375" style="1" customWidth="1"/>
    <col min="2" max="8" width="12.8984375" style="1" customWidth="1"/>
    <col min="9" max="9" width="2.5" style="1" customWidth="1"/>
    <col min="10" max="16384" width="9" style="1"/>
  </cols>
  <sheetData>
    <row r="1" spans="2:8" x14ac:dyDescent="0.4">
      <c r="B1" s="16"/>
      <c r="C1" s="16"/>
      <c r="D1" s="16"/>
      <c r="E1" s="16"/>
      <c r="F1" s="16"/>
      <c r="G1" s="16"/>
      <c r="H1" s="16"/>
    </row>
    <row r="2" spans="2:8" ht="27.6" x14ac:dyDescent="0.4">
      <c r="B2" s="36" t="s">
        <v>75</v>
      </c>
      <c r="C2" s="36"/>
      <c r="D2" s="36"/>
      <c r="E2" s="36"/>
      <c r="F2" s="36"/>
      <c r="G2" s="36"/>
      <c r="H2" s="36"/>
    </row>
    <row r="3" spans="2:8" x14ac:dyDescent="0.4">
      <c r="B3" s="16"/>
      <c r="C3" s="16"/>
      <c r="D3" s="16"/>
      <c r="E3" s="16"/>
      <c r="F3" s="16"/>
      <c r="G3" s="16"/>
      <c r="H3" s="2" t="e">
        <f>사육돼지!#REF!</f>
        <v>#REF!</v>
      </c>
    </row>
    <row r="4" spans="2:8" x14ac:dyDescent="0.4">
      <c r="B4" s="40" t="s">
        <v>76</v>
      </c>
      <c r="C4" s="40" t="s">
        <v>78</v>
      </c>
      <c r="D4" s="40"/>
      <c r="E4" s="40" t="s">
        <v>79</v>
      </c>
      <c r="F4" s="40"/>
      <c r="G4" s="40" t="s">
        <v>80</v>
      </c>
      <c r="H4" s="40"/>
    </row>
    <row r="5" spans="2:8" ht="18" thickBot="1" x14ac:dyDescent="0.45">
      <c r="B5" s="41"/>
      <c r="C5" s="19" t="s">
        <v>81</v>
      </c>
      <c r="D5" s="19" t="s">
        <v>82</v>
      </c>
      <c r="E5" s="19" t="s">
        <v>83</v>
      </c>
      <c r="F5" s="19" t="s">
        <v>82</v>
      </c>
      <c r="G5" s="19" t="s">
        <v>84</v>
      </c>
      <c r="H5" s="19" t="s">
        <v>82</v>
      </c>
    </row>
    <row r="6" spans="2:8" ht="33.75" customHeight="1" thickTop="1" x14ac:dyDescent="0.4">
      <c r="B6" s="17">
        <v>2019</v>
      </c>
      <c r="C6" s="18">
        <f t="shared" ref="C6:D14" si="0">E6+G6</f>
        <v>239</v>
      </c>
      <c r="D6" s="18">
        <f t="shared" si="0"/>
        <v>364839</v>
      </c>
      <c r="E6" s="18">
        <v>14</v>
      </c>
      <c r="F6" s="18">
        <v>28014</v>
      </c>
      <c r="G6" s="18">
        <v>225</v>
      </c>
      <c r="H6" s="18">
        <v>336825</v>
      </c>
    </row>
    <row r="7" spans="2:8" ht="33.75" customHeight="1" x14ac:dyDescent="0.4">
      <c r="B7" s="14">
        <v>2020</v>
      </c>
      <c r="C7" s="15">
        <f t="shared" si="0"/>
        <v>6</v>
      </c>
      <c r="D7" s="15">
        <f t="shared" si="0"/>
        <v>4940</v>
      </c>
      <c r="E7" s="15">
        <v>2</v>
      </c>
      <c r="F7" s="15">
        <v>1746</v>
      </c>
      <c r="G7" s="15">
        <v>4</v>
      </c>
      <c r="H7" s="15">
        <v>3194</v>
      </c>
    </row>
    <row r="8" spans="2:8" ht="33.75" customHeight="1" x14ac:dyDescent="0.4">
      <c r="B8" s="14">
        <v>2021</v>
      </c>
      <c r="C8" s="15">
        <f t="shared" si="0"/>
        <v>6</v>
      </c>
      <c r="D8" s="15">
        <f t="shared" si="0"/>
        <v>9472</v>
      </c>
      <c r="E8" s="15">
        <v>5</v>
      </c>
      <c r="F8" s="15">
        <v>7452</v>
      </c>
      <c r="G8" s="15">
        <v>1</v>
      </c>
      <c r="H8" s="15">
        <v>2020</v>
      </c>
    </row>
    <row r="9" spans="2:8" ht="33.75" customHeight="1" x14ac:dyDescent="0.4">
      <c r="B9" s="14">
        <v>2022</v>
      </c>
      <c r="C9" s="15">
        <f t="shared" si="0"/>
        <v>8</v>
      </c>
      <c r="D9" s="15">
        <f t="shared" si="0"/>
        <v>34788</v>
      </c>
      <c r="E9" s="15">
        <v>7</v>
      </c>
      <c r="F9" s="15">
        <v>33691</v>
      </c>
      <c r="G9" s="15">
        <v>1</v>
      </c>
      <c r="H9" s="15">
        <v>1097</v>
      </c>
    </row>
    <row r="10" spans="2:8" ht="33.75" customHeight="1" x14ac:dyDescent="0.4">
      <c r="B10" s="14">
        <v>2023</v>
      </c>
      <c r="C10" s="15">
        <f t="shared" si="0"/>
        <v>25</v>
      </c>
      <c r="D10" s="15">
        <f t="shared" si="0"/>
        <v>104361</v>
      </c>
      <c r="E10" s="15">
        <v>10</v>
      </c>
      <c r="F10" s="15">
        <v>60653</v>
      </c>
      <c r="G10" s="15">
        <v>15</v>
      </c>
      <c r="H10" s="15">
        <v>43708</v>
      </c>
    </row>
    <row r="11" spans="2:8" ht="33.75" customHeight="1" x14ac:dyDescent="0.4">
      <c r="B11" s="14">
        <v>2024</v>
      </c>
      <c r="C11" s="15">
        <f t="shared" si="0"/>
        <v>11</v>
      </c>
      <c r="D11" s="15">
        <f t="shared" si="0"/>
        <v>49746</v>
      </c>
      <c r="E11" s="15">
        <v>11</v>
      </c>
      <c r="F11" s="15">
        <v>49746</v>
      </c>
      <c r="G11" s="15">
        <v>0</v>
      </c>
      <c r="H11" s="15">
        <v>0</v>
      </c>
    </row>
    <row r="12" spans="2:8" ht="33.75" customHeight="1" x14ac:dyDescent="0.4">
      <c r="B12" s="14">
        <v>2025</v>
      </c>
      <c r="C12" s="15">
        <f t="shared" ref="C12:C13" si="1">E12+G12</f>
        <v>11</v>
      </c>
      <c r="D12" s="15">
        <f t="shared" ref="D12:D13" si="2">F12+H12</f>
        <v>34030</v>
      </c>
      <c r="E12" s="15">
        <v>6</v>
      </c>
      <c r="F12" s="15">
        <v>28973</v>
      </c>
      <c r="G12" s="15">
        <v>5</v>
      </c>
      <c r="H12" s="15">
        <v>5057</v>
      </c>
    </row>
    <row r="13" spans="2:8" ht="33.75" customHeight="1" x14ac:dyDescent="0.4">
      <c r="B13" s="14">
        <v>2026</v>
      </c>
      <c r="C13" s="15">
        <f t="shared" si="1"/>
        <v>7</v>
      </c>
      <c r="D13" s="15">
        <f t="shared" si="2"/>
        <v>75112</v>
      </c>
      <c r="E13" s="15">
        <v>7</v>
      </c>
      <c r="F13" s="15">
        <v>75112</v>
      </c>
      <c r="G13" s="15">
        <v>0</v>
      </c>
      <c r="H13" s="15">
        <v>0</v>
      </c>
    </row>
    <row r="14" spans="2:8" ht="33.75" customHeight="1" x14ac:dyDescent="0.4">
      <c r="B14" s="14" t="s">
        <v>77</v>
      </c>
      <c r="C14" s="15">
        <f t="shared" si="0"/>
        <v>313</v>
      </c>
      <c r="D14" s="15">
        <f t="shared" si="0"/>
        <v>677288</v>
      </c>
      <c r="E14" s="15">
        <f>SUM(E6:E13)</f>
        <v>62</v>
      </c>
      <c r="F14" s="15">
        <f>SUM(F6:F13)</f>
        <v>285387</v>
      </c>
      <c r="G14" s="15">
        <f>SUM(G6:G13)</f>
        <v>251</v>
      </c>
      <c r="H14" s="15">
        <f>SUM(H6:H13)</f>
        <v>391901</v>
      </c>
    </row>
  </sheetData>
  <mergeCells count="5">
    <mergeCell ref="B2:H2"/>
    <mergeCell ref="B4:B5"/>
    <mergeCell ref="C4:D4"/>
    <mergeCell ref="E4:F4"/>
    <mergeCell ref="G4:H4"/>
  </mergeCells>
  <phoneticPr fontId="1" type="noConversion"/>
  <printOptions horizontalCentered="1"/>
  <pageMargins left="0.11811023622047245" right="0.11811023622047245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사육돼지</vt:lpstr>
      <vt:lpstr>발생지역</vt:lpstr>
      <vt:lpstr>살처분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2026-02-09T23:15:32Z</dcterms:modified>
</cp:coreProperties>
</file>